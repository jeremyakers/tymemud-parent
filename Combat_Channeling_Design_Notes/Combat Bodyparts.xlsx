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<sst xmlns="http://schemas.openxmlformats.org/spreadsheetml/2006/main" count="655" uniqueCount="119">
  <si>
    <t>Linked List Nodes</t>
  </si>
  <si>
    <t>Front</t>
  </si>
  <si>
    <t>Head</t>
  </si>
  <si>
    <t>Right Ear</t>
  </si>
  <si>
    <t>Right Eye</t>
  </si>
  <si>
    <t>Nose</t>
  </si>
  <si>
    <t>Left Eye</t>
  </si>
  <si>
    <t>Left Ear</t>
  </si>
  <si>
    <t>Right Cheek</t>
  </si>
  <si>
    <t>Left Cheek</t>
  </si>
  <si>
    <t>Mouth</t>
  </si>
  <si>
    <t>Jaw</t>
  </si>
  <si>
    <t>Throat</t>
  </si>
  <si>
    <t>Right Upper Arm</t>
  </si>
  <si>
    <t>Right Collarbone</t>
  </si>
  <si>
    <t>Left Collarbone</t>
  </si>
  <si>
    <t>Right Elbow</t>
  </si>
  <si>
    <t>Chest</t>
  </si>
  <si>
    <t>Left Upper Arm</t>
  </si>
  <si>
    <t>Right Lower Arm</t>
  </si>
  <si>
    <t>Right Side</t>
  </si>
  <si>
    <t>Rib 1</t>
  </si>
  <si>
    <t>Left Side</t>
  </si>
  <si>
    <t>Left Elbow</t>
  </si>
  <si>
    <t>Right Wrist</t>
  </si>
  <si>
    <t>Lung</t>
  </si>
  <si>
    <t>Left Lower Arm</t>
  </si>
  <si>
    <t>Right Hand</t>
  </si>
  <si>
    <t>Heart</t>
  </si>
  <si>
    <t>Left Wrist</t>
  </si>
  <si>
    <t>Right Pinky Finger</t>
  </si>
  <si>
    <t>Right Ring Finger</t>
  </si>
  <si>
    <t>Rib 2</t>
  </si>
  <si>
    <t>Left Hand</t>
  </si>
  <si>
    <t>Rib 3</t>
  </si>
  <si>
    <t>Left Ring Finger</t>
  </si>
  <si>
    <t>Left Pinky Finger</t>
  </si>
  <si>
    <t>Belly</t>
  </si>
  <si>
    <t>Pelvis</t>
  </si>
  <si>
    <t>Right Thigh</t>
  </si>
  <si>
    <t>Left Thigh</t>
  </si>
  <si>
    <t>Right Kneecap</t>
  </si>
  <si>
    <t>Left Kneecap</t>
  </si>
  <si>
    <t>Right Shin</t>
  </si>
  <si>
    <t>Left Shin</t>
  </si>
  <si>
    <t>Right Foot</t>
  </si>
  <si>
    <t>Left Foot</t>
  </si>
  <si>
    <t>Back</t>
  </si>
  <si>
    <t>Back of Head</t>
  </si>
  <si>
    <t>Neck</t>
  </si>
  <si>
    <t>Left Calf</t>
  </si>
  <si>
    <t>Right Calf</t>
  </si>
  <si>
    <t>Left Hamstring</t>
  </si>
  <si>
    <t>Right Hamstring</t>
  </si>
  <si>
    <t>Affliction Data</t>
  </si>
  <si>
    <t>Region</t>
  </si>
  <si>
    <t>Percents</t>
  </si>
  <si>
    <t>Affliction Type</t>
  </si>
  <si>
    <t>Percent of HPs to Accumulate One</t>
  </si>
  <si>
    <t>Raw Bloodloss</t>
  </si>
  <si>
    <t>minor (SL/PR)</t>
  </si>
  <si>
    <t>0-19</t>
  </si>
  <si>
    <t>Arm</t>
  </si>
  <si>
    <t>substantial (SL/PR)</t>
  </si>
  <si>
    <t>20-59</t>
  </si>
  <si>
    <t>Body</t>
  </si>
  <si>
    <t>gashed (SL/PR)</t>
  </si>
  <si>
    <t>60-99</t>
  </si>
  <si>
    <t>Legs</t>
  </si>
  <si>
    <t>severed (SL/PR)</t>
  </si>
  <si>
    <t>100+</t>
  </si>
  <si>
    <t>Feet</t>
  </si>
  <si>
    <t>bruised (CR)</t>
  </si>
  <si>
    <t>30-79</t>
  </si>
  <si>
    <t>Hands</t>
  </si>
  <si>
    <t>broken (CR)</t>
  </si>
  <si>
    <t>80-100+</t>
  </si>
  <si>
    <t>All Regions</t>
  </si>
  <si>
    <t>cold</t>
  </si>
  <si>
    <t>burned</t>
  </si>
  <si>
    <t>Stats</t>
  </si>
  <si>
    <t>numb</t>
  </si>
  <si>
    <t>Agility</t>
  </si>
  <si>
    <t>Str</t>
  </si>
  <si>
    <t>HPs</t>
  </si>
  <si>
    <t>Endurance</t>
  </si>
  <si>
    <t>Blood</t>
  </si>
  <si>
    <t>PC Breakdown</t>
  </si>
  <si>
    <t>Humanoid Mob Breakdown</t>
  </si>
  <si>
    <t>Head Region</t>
  </si>
  <si>
    <t>Percent of Region</t>
  </si>
  <si>
    <t>Percent of Body</t>
  </si>
  <si>
    <t>Severable?</t>
  </si>
  <si>
    <t>Timer til Death if Lost</t>
  </si>
  <si>
    <t>HPs to Constitute a Minor Wound</t>
  </si>
  <si>
    <t>yes</t>
  </si>
  <si>
    <t>Arm Region</t>
  </si>
  <si>
    <t>Body Region</t>
  </si>
  <si>
    <t>Leg Region</t>
  </si>
  <si>
    <t>Feet Region</t>
  </si>
  <si>
    <t>Hand Region</t>
  </si>
  <si>
    <t>Injury Modifiers</t>
  </si>
  <si>
    <t>Average Modifiers</t>
  </si>
  <si>
    <t>Minor</t>
  </si>
  <si>
    <t>Substantial</t>
  </si>
  <si>
    <t>Gashed</t>
  </si>
  <si>
    <t>Severed</t>
  </si>
  <si>
    <t>Bruised</t>
  </si>
  <si>
    <t>Broken</t>
  </si>
  <si>
    <t>Cold</t>
  </si>
  <si>
    <t>Burned</t>
  </si>
  <si>
    <t>Numb</t>
  </si>
  <si>
    <t>Body Part</t>
  </si>
  <si>
    <t>Injury Mod = 1 * P(Minor_Mod) * P(Substantial_Mod) * P(Gashed_Mod) * P(Severed_Mod) * P(Broken_Mod) * P(Cold_Mod) * P(Burned_Mod) * P(Numb_Mod)</t>
  </si>
  <si>
    <t>Average</t>
  </si>
  <si>
    <t>P</t>
  </si>
  <si>
    <t>P(P)</t>
  </si>
  <si>
    <t>Bloodloss Modifiers</t>
  </si>
  <si>
    <t>Bloodloss Mod = Blood/Max Blood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</si>
</sst>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0.0000"/>
    <numFmt numFmtId="166" formatCode="0.0000"/>
    <numFmt numFmtId="167" formatCode="0.0000"/>
    <numFmt numFmtId="168" formatCode="0.0000"/>
    <numFmt numFmtId="169" formatCode="0.0000"/>
    <numFmt numFmtId="170" formatCode="0.0000"/>
  </numFmts>
  <fonts count="15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CCFFCC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FFFF99"/>
      <name val="Arial"/>
    </font>
    <font>
      <b val="0"/>
      <i val="0"/>
      <strike val="0"/>
      <u val="none"/>
      <sz val="11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Symbo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Symbo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78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66C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66C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1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171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Fill="1">
      <alignment vertical="bottom" horizontal="center"/>
    </xf>
    <xf applyBorder="1" applyAlignment="1" fillId="3" xfId="0" numFmtId="0" borderId="2" applyFont="1" fontId="2" applyFill="1">
      <alignment vertical="bottom" horizontal="center" wrapText="1"/>
    </xf>
    <xf applyBorder="1" applyAlignment="1" fillId="0" xfId="0" numFmtId="0" borderId="3" applyFont="1" fontId="3">
      <alignment vertical="bottom" horizontal="center"/>
    </xf>
    <xf applyBorder="1" fillId="0" xfId="0" numFmtId="0" borderId="4" applyFont="1" fontId="4"/>
    <xf applyBorder="1" fillId="4" xfId="0" numFmtId="0" borderId="5" applyFont="1" fontId="5" applyFill="1"/>
    <xf applyBorder="1" fillId="0" xfId="0" numFmtId="0" borderId="6" applyFont="1" fontId="6"/>
    <xf applyBorder="1" fillId="0" xfId="0" numFmtId="0" borderId="7" applyFont="1" fontId="7"/>
    <xf applyBorder="1" fillId="5" xfId="0" numFmtId="0" borderId="8" applyFont="1" fontId="8" applyFill="1"/>
    <xf applyBorder="1" applyAlignment="1" fillId="6" xfId="0" numFmtId="0" borderId="9" applyFont="1" fontId="9" applyFill="1">
      <alignment vertical="bottom" horizontal="center"/>
    </xf>
    <xf applyBorder="1" applyAlignment="1" fillId="7" xfId="0" numFmtId="0" borderId="10" applyFont="1" fontId="10" applyFill="1">
      <alignment vertical="bottom" horizontal="center"/>
    </xf>
    <xf applyBorder="1" fillId="0" xfId="0" numFmtId="0" borderId="11" applyFont="1" fontId="11"/>
    <xf applyBorder="1" applyAlignment="1" fillId="8" xfId="0" numFmtId="0" borderId="12" applyFont="1" fontId="12" applyFill="1">
      <alignment vertical="bottom" horizontal="center"/>
    </xf>
    <xf applyBorder="1" fillId="0" xfId="0" numFmtId="0" borderId="13" applyFont="1" fontId="13"/>
    <xf applyBorder="1" applyAlignment="1" fillId="9" xfId="0" numFmtId="0" borderId="14" applyFont="1" fontId="14" applyFill="1">
      <alignment vertical="bottom" horizontal="center"/>
    </xf>
    <xf applyBorder="1" fillId="0" xfId="0" numFmtId="0" borderId="15" applyFont="1" fontId="15"/>
    <xf applyBorder="1" applyAlignment="1" fillId="10" xfId="0" numFmtId="0" borderId="16" applyFont="1" fontId="16" applyFill="1">
      <alignment vertical="bottom" horizontal="center"/>
    </xf>
    <xf applyBorder="1" applyAlignment="1" fillId="0" xfId="0" numFmtId="164" borderId="17" applyFont="1" fontId="17" applyNumberFormat="1">
      <alignment vertical="bottom" horizontal="right"/>
    </xf>
    <xf applyBorder="1" fillId="11" xfId="0" numFmtId="1" borderId="18" applyFont="1" fontId="18" applyNumberFormat="1" applyFill="1"/>
    <xf applyBorder="1" applyAlignment="1" fillId="0" xfId="0" numFmtId="0" borderId="19" applyFont="1" fontId="19">
      <alignment vertical="bottom" horizontal="center"/>
    </xf>
    <xf applyBorder="1" fillId="12" xfId="0" numFmtId="0" borderId="20" applyFont="1" fontId="20" applyFill="1"/>
    <xf applyBorder="1" applyAlignment="1" fillId="0" xfId="0" numFmtId="0" borderId="21" applyFont="1" fontId="21">
      <alignment vertical="bottom" horizontal="right"/>
    </xf>
    <xf applyBorder="1" applyAlignment="1" fillId="13" xfId="0" numFmtId="1" borderId="22" applyFont="1" fontId="22" applyNumberFormat="1" applyFill="1">
      <alignment vertical="bottom" horizontal="center"/>
    </xf>
    <xf applyBorder="1" applyAlignment="1" fillId="14" xfId="0" numFmtId="0" borderId="23" applyFont="1" fontId="23" applyFill="1">
      <alignment vertical="bottom" horizontal="center"/>
    </xf>
    <xf applyBorder="1" applyAlignment="1" fillId="15" xfId="0" numFmtId="0" borderId="24" applyFont="1" fontId="24" applyFill="1">
      <alignment vertical="bottom" horizontal="center"/>
    </xf>
    <xf applyBorder="1" applyAlignment="1" fillId="16" xfId="0" numFmtId="0" borderId="25" applyFont="1" fontId="25" applyFill="1">
      <alignment vertical="bottom" horizontal="center"/>
    </xf>
    <xf applyAlignment="1" fillId="0" xfId="0" numFmtId="0" borderId="0" applyFont="1" fontId="26">
      <alignment vertical="bottom" horizontal="center"/>
    </xf>
    <xf applyBorder="1" applyAlignment="1" fillId="17" xfId="0" numFmtId="0" borderId="26" applyFont="1" fontId="27" applyFill="1">
      <alignment vertical="bottom" horizontal="center"/>
    </xf>
    <xf applyBorder="1" applyAlignment="1" fillId="0" xfId="0" numFmtId="0" borderId="27" fontId="0">
      <alignment vertical="bottom" horizontal="general" wrapText="1"/>
    </xf>
    <xf applyBorder="1" applyAlignment="1" fillId="0" xfId="0" numFmtId="0" borderId="28" fontId="0">
      <alignment vertical="bottom" horizontal="general" wrapText="1"/>
    </xf>
    <xf applyBorder="1" fillId="18" xfId="0" numFmtId="0" borderId="29" applyFont="1" fontId="28" applyFill="1"/>
    <xf applyBorder="1" applyAlignment="1" fillId="0" xfId="0" numFmtId="0" borderId="30" fontId="0">
      <alignment vertical="bottom" horizontal="general" wrapText="1"/>
    </xf>
    <xf applyBorder="1" applyAlignment="1" fillId="0" xfId="0" numFmtId="0" borderId="31" applyFont="1" fontId="29">
      <alignment vertical="bottom" horizontal="center"/>
    </xf>
    <xf applyBorder="1" applyAlignment="1" fillId="0" xfId="0" numFmtId="0" borderId="32" fontId="0">
      <alignment vertical="bottom" horizontal="general" wrapText="1"/>
    </xf>
    <xf applyBorder="1" fillId="19" xfId="0" numFmtId="0" borderId="33" applyFont="1" fontId="30" applyFill="1"/>
    <xf applyBorder="1" applyAlignment="1" fillId="0" xfId="0" numFmtId="0" borderId="34" applyFont="1" fontId="31">
      <alignment vertical="bottom" horizontal="center"/>
    </xf>
    <xf applyBorder="1" fillId="20" xfId="0" numFmtId="0" borderId="35" applyFont="1" fontId="32" applyFill="1"/>
    <xf applyBorder="1" applyAlignment="1" fillId="21" xfId="0" numFmtId="0" borderId="36" applyFont="1" fontId="33" applyFill="1">
      <alignment vertical="bottom" horizontal="center"/>
    </xf>
    <xf applyBorder="1" applyAlignment="1" fillId="0" xfId="0" numFmtId="0" borderId="37" applyFont="1" fontId="34">
      <alignment vertical="bottom" horizontal="center"/>
    </xf>
    <xf applyBorder="1" applyAlignment="1" fillId="0" xfId="0" numFmtId="0" borderId="38" applyFont="1" fontId="35">
      <alignment vertical="bottom" horizontal="center"/>
    </xf>
    <xf applyAlignment="1" fillId="0" xfId="0" numFmtId="165" borderId="0" applyFont="1" fontId="36" applyNumberFormat="1">
      <alignment vertical="bottom" horizontal="right"/>
    </xf>
    <xf applyBorder="1" fillId="22" xfId="0" numFmtId="0" borderId="39" applyFont="1" fontId="37" applyFill="1"/>
    <xf applyBorder="1" applyAlignment="1" fillId="0" xfId="0" numFmtId="0" borderId="40" applyFont="1" fontId="38">
      <alignment vertical="bottom" horizontal="center"/>
    </xf>
    <xf applyBorder="1" applyAlignment="1" fillId="23" xfId="0" numFmtId="0" borderId="41" applyFont="1" fontId="39" applyFill="1">
      <alignment vertical="bottom" horizontal="center" wrapText="1"/>
    </xf>
    <xf applyBorder="1" applyAlignment="1" fillId="24" xfId="0" numFmtId="0" borderId="42" applyFont="1" fontId="40" applyFill="1">
      <alignment vertical="bottom" horizontal="center" wrapText="1"/>
    </xf>
    <xf applyBorder="1" applyAlignment="1" fillId="0" xfId="0" numFmtId="0" borderId="43" applyFont="1" fontId="41">
      <alignment vertical="bottom" horizontal="center"/>
    </xf>
    <xf applyBorder="1" applyAlignment="1" fillId="25" xfId="0" numFmtId="0" borderId="44" applyFont="1" fontId="42" applyFill="1">
      <alignment vertical="bottom" horizontal="center"/>
    </xf>
    <xf applyBorder="1" applyAlignment="1" fillId="0" xfId="0" numFmtId="0" borderId="45" fontId="0">
      <alignment vertical="bottom" horizontal="general" wrapText="1"/>
    </xf>
    <xf applyBorder="1" applyAlignment="1" fillId="0" xfId="0" numFmtId="0" borderId="46" fontId="0">
      <alignment vertical="bottom" horizontal="general" wrapText="1"/>
    </xf>
    <xf applyBorder="1" fillId="0" xfId="0" numFmtId="0" borderId="47" applyFont="1" fontId="43"/>
    <xf applyBorder="1" fillId="26" xfId="0" numFmtId="0" borderId="48" applyFont="1" fontId="44" applyFill="1"/>
    <xf applyBorder="1" applyAlignment="1" fillId="27" xfId="0" numFmtId="0" borderId="49" applyFont="1" fontId="45" applyFill="1">
      <alignment vertical="bottom" horizontal="center"/>
    </xf>
    <xf applyBorder="1" fillId="28" xfId="0" numFmtId="0" borderId="50" applyFont="1" fontId="46" applyFill="1"/>
    <xf applyBorder="1" fillId="0" xfId="0" numFmtId="0" borderId="51" applyFont="1" fontId="47"/>
    <xf applyBorder="1" fillId="0" xfId="0" numFmtId="0" borderId="52" applyFont="1" fontId="48"/>
    <xf applyBorder="1" applyAlignment="1" fillId="0" xfId="0" numFmtId="0" borderId="53" fontId="0">
      <alignment vertical="bottom" horizontal="general" wrapText="1"/>
    </xf>
    <xf applyBorder="1" fillId="29" xfId="0" numFmtId="1" borderId="54" applyFont="1" fontId="49" applyNumberFormat="1" applyFill="1"/>
    <xf applyBorder="1" fillId="0" xfId="0" numFmtId="0" borderId="55" applyFont="1" fontId="50"/>
    <xf applyBorder="1" fillId="30" xfId="0" numFmtId="0" borderId="56" applyFont="1" fontId="51" applyFill="1"/>
    <xf applyBorder="1" fillId="0" xfId="0" numFmtId="0" borderId="57" applyFont="1" fontId="52"/>
    <xf applyBorder="1" applyAlignment="1" fillId="31" xfId="0" numFmtId="166" borderId="58" applyFont="1" fontId="53" applyNumberFormat="1" applyFill="1">
      <alignment vertical="bottom" horizontal="center"/>
    </xf>
    <xf applyBorder="1" applyAlignment="1" fillId="32" xfId="0" numFmtId="0" borderId="59" applyFont="1" fontId="54" applyFill="1">
      <alignment vertical="bottom" horizontal="center"/>
    </xf>
    <xf applyBorder="1" applyAlignment="1" fillId="0" xfId="0" numFmtId="0" borderId="60" applyFont="1" fontId="55">
      <alignment vertical="bottom" horizontal="center"/>
    </xf>
    <xf applyBorder="1" fillId="0" xfId="0" numFmtId="0" borderId="61" applyFont="1" fontId="56"/>
    <xf applyBorder="1" fillId="0" xfId="0" numFmtId="0" borderId="62" applyFont="1" fontId="57"/>
    <xf applyBorder="1" applyAlignment="1" fillId="33" xfId="0" numFmtId="0" borderId="63" applyFont="1" fontId="58" applyFill="1">
      <alignment vertical="bottom" horizontal="center"/>
    </xf>
    <xf applyBorder="1" applyAlignment="1" fillId="0" xfId="0" numFmtId="0" borderId="64" applyFont="1" fontId="59">
      <alignment vertical="bottom" horizontal="center"/>
    </xf>
    <xf applyBorder="1" applyAlignment="1" fillId="0" xfId="0" numFmtId="0" borderId="65" applyFont="1" fontId="60">
      <alignment vertical="bottom" horizontal="center"/>
    </xf>
    <xf applyBorder="1" applyAlignment="1" fillId="34" xfId="0" numFmtId="0" borderId="66" applyFont="1" fontId="61" applyFill="1">
      <alignment vertical="bottom" horizontal="center"/>
    </xf>
    <xf applyBorder="1" applyAlignment="1" fillId="35" xfId="0" numFmtId="0" borderId="67" applyFont="1" fontId="62" applyFill="1">
      <alignment vertical="bottom" horizontal="center"/>
    </xf>
    <xf applyBorder="1" applyAlignment="1" fillId="0" xfId="0" numFmtId="0" borderId="68" applyFont="1" fontId="63">
      <alignment vertical="bottom" horizontal="center"/>
    </xf>
    <xf applyBorder="1" fillId="0" xfId="0" numFmtId="0" borderId="69" applyFont="1" fontId="64"/>
    <xf applyBorder="1" applyAlignment="1" fillId="36" xfId="0" numFmtId="0" borderId="70" applyFont="1" fontId="65" applyFill="1">
      <alignment vertical="bottom" horizontal="center"/>
    </xf>
    <xf applyBorder="1" fillId="37" xfId="0" numFmtId="0" borderId="71" applyFont="1" fontId="66" applyFill="1"/>
    <xf applyBorder="1" fillId="38" xfId="0" numFmtId="0" borderId="72" applyFont="1" fontId="67" applyFill="1"/>
    <xf applyBorder="1" applyAlignment="1" fillId="0" xfId="0" numFmtId="0" borderId="73" applyFont="1" fontId="68">
      <alignment vertical="bottom" horizontal="center"/>
    </xf>
    <xf applyBorder="1" applyAlignment="1" fillId="0" xfId="0" numFmtId="0" borderId="74" applyFont="1" fontId="69">
      <alignment vertical="bottom" horizontal="center"/>
    </xf>
    <xf applyBorder="1" applyAlignment="1" fillId="39" xfId="0" numFmtId="0" borderId="75" applyFont="1" fontId="70" applyFill="1">
      <alignment vertical="bottom" horizontal="center"/>
    </xf>
    <xf applyBorder="1" fillId="0" xfId="0" numFmtId="0" borderId="76" applyFont="1" fontId="71"/>
    <xf applyBorder="1" fillId="40" xfId="0" numFmtId="0" borderId="77" applyFont="1" fontId="72" applyFill="1"/>
    <xf applyBorder="1" applyAlignment="1" fillId="0" xfId="0" numFmtId="0" borderId="78" applyFont="1" fontId="73">
      <alignment vertical="bottom" horizontal="center" wrapText="1"/>
    </xf>
    <xf fillId="0" xfId="0" numFmtId="0" borderId="0" applyFont="1" fontId="74"/>
    <xf applyBorder="1" applyAlignment="1" fillId="41" xfId="0" numFmtId="0" borderId="79" applyFont="1" fontId="75" applyFill="1">
      <alignment vertical="bottom" horizontal="center"/>
    </xf>
    <xf applyBorder="1" applyAlignment="1" fillId="0" xfId="0" numFmtId="0" borderId="80" applyFont="1" fontId="76">
      <alignment vertical="bottom" horizontal="right"/>
    </xf>
    <xf applyBorder="1" applyAlignment="1" fillId="42" xfId="0" numFmtId="0" borderId="81" applyFont="1" fontId="77" applyFill="1">
      <alignment vertical="bottom" horizontal="center" wrapText="1"/>
    </xf>
    <xf applyBorder="1" fillId="0" xfId="0" numFmtId="0" borderId="82" applyFont="1" fontId="78"/>
    <xf applyBorder="1" applyAlignment="1" fillId="0" xfId="0" numFmtId="0" borderId="83" applyFont="1" fontId="79">
      <alignment vertical="bottom" horizontal="right"/>
    </xf>
    <xf applyBorder="1" applyAlignment="1" fillId="0" xfId="0" numFmtId="0" borderId="84" fontId="0">
      <alignment vertical="bottom" horizontal="general" wrapText="1"/>
    </xf>
    <xf applyBorder="1" applyAlignment="1" fillId="0" xfId="0" numFmtId="0" borderId="85" fontId="0">
      <alignment vertical="bottom" horizontal="general" wrapText="1"/>
    </xf>
    <xf applyBorder="1" applyAlignment="1" fillId="0" xfId="0" numFmtId="0" borderId="86" applyFont="1" fontId="80">
      <alignment vertical="bottom" horizontal="center"/>
    </xf>
    <xf applyBorder="1" fillId="43" xfId="0" numFmtId="0" borderId="87" applyFont="1" fontId="81" applyFill="1"/>
    <xf applyBorder="1" fillId="0" xfId="0" numFmtId="167" borderId="88" applyFont="1" fontId="82" applyNumberFormat="1"/>
    <xf applyBorder="1" applyAlignment="1" fillId="0" xfId="0" numFmtId="0" borderId="89" applyFont="1" fontId="83">
      <alignment vertical="bottom" horizontal="center"/>
    </xf>
    <xf applyBorder="1" applyAlignment="1" fillId="0" xfId="0" numFmtId="0" borderId="90" applyFont="1" fontId="84">
      <alignment vertical="bottom" horizontal="center"/>
    </xf>
    <xf applyBorder="1" fillId="0" xfId="0" numFmtId="0" borderId="91" applyFont="1" fontId="85"/>
    <xf applyBorder="1" applyAlignment="1" fillId="0" xfId="0" numFmtId="0" borderId="92" fontId="0">
      <alignment vertical="bottom" horizontal="general" wrapText="1"/>
    </xf>
    <xf applyBorder="1" fillId="0" xfId="0" numFmtId="0" borderId="93" applyFont="1" fontId="86"/>
    <xf applyBorder="1" applyAlignment="1" fillId="0" xfId="0" numFmtId="0" borderId="94" applyFont="1" fontId="87">
      <alignment vertical="bottom" horizontal="right"/>
    </xf>
    <xf applyBorder="1" applyAlignment="1" fillId="0" xfId="0" numFmtId="0" borderId="95" fontId="0">
      <alignment vertical="bottom" horizontal="general" wrapText="1"/>
    </xf>
    <xf applyBorder="1" applyAlignment="1" fillId="0" xfId="0" numFmtId="0" borderId="96" applyFont="1" fontId="88">
      <alignment vertical="bottom" horizontal="right"/>
    </xf>
    <xf applyBorder="1" fillId="44" xfId="0" numFmtId="1" borderId="97" applyFont="1" fontId="89" applyNumberFormat="1" applyFill="1"/>
    <xf applyBorder="1" applyAlignment="1" fillId="0" xfId="0" numFmtId="0" borderId="98" applyFont="1" fontId="90">
      <alignment vertical="bottom" horizontal="center"/>
    </xf>
    <xf applyBorder="1" applyAlignment="1" fillId="0" xfId="0" numFmtId="168" borderId="99" applyFont="1" fontId="91" applyNumberFormat="1">
      <alignment vertical="bottom" horizontal="right"/>
    </xf>
    <xf applyBorder="1" fillId="0" xfId="0" numFmtId="0" borderId="100" applyFont="1" fontId="92"/>
    <xf applyBorder="1" applyAlignment="1" fillId="0" xfId="0" numFmtId="0" borderId="101" applyFont="1" fontId="93">
      <alignment vertical="bottom" horizontal="center"/>
    </xf>
    <xf applyBorder="1" fillId="0" xfId="0" numFmtId="0" borderId="102" applyFont="1" fontId="94"/>
    <xf applyBorder="1" fillId="0" xfId="0" numFmtId="0" borderId="103" applyFont="1" fontId="95"/>
    <xf applyBorder="1" applyAlignment="1" fillId="0" xfId="0" numFmtId="0" borderId="104" fontId="0">
      <alignment vertical="bottom" horizontal="general" wrapText="1"/>
    </xf>
    <xf applyBorder="1" applyAlignment="1" fillId="0" xfId="0" numFmtId="169" borderId="105" applyFont="1" fontId="96" applyNumberFormat="1">
      <alignment vertical="bottom" horizontal="right"/>
    </xf>
    <xf applyBorder="1" fillId="0" xfId="0" numFmtId="0" borderId="106" applyFont="1" fontId="97"/>
    <xf applyBorder="1" applyAlignment="1" fillId="0" xfId="0" numFmtId="0" borderId="107" fontId="0">
      <alignment vertical="bottom" horizontal="general" wrapText="1"/>
    </xf>
    <xf applyBorder="1" fillId="45" xfId="0" numFmtId="0" borderId="108" applyFont="1" fontId="98" applyFill="1"/>
    <xf applyBorder="1" fillId="0" xfId="0" numFmtId="1" borderId="109" applyFont="1" fontId="99" applyNumberFormat="1"/>
    <xf applyAlignment="1" fillId="0" xfId="0" numFmtId="0" borderId="0" applyFont="1" fontId="100">
      <alignment vertical="bottom" horizontal="right"/>
    </xf>
    <xf applyBorder="1" fillId="46" xfId="0" numFmtId="0" borderId="110" applyFont="1" fontId="101" applyFill="1"/>
    <xf applyBorder="1" applyAlignment="1" fillId="47" xfId="0" numFmtId="0" borderId="111" applyFont="1" fontId="102" applyFill="1">
      <alignment vertical="bottom" horizontal="center" wrapText="1"/>
    </xf>
    <xf applyBorder="1" fillId="0" xfId="0" numFmtId="0" borderId="112" applyFont="1" fontId="103"/>
    <xf applyBorder="1" fillId="48" xfId="0" numFmtId="0" borderId="113" applyFont="1" fontId="104" applyFill="1"/>
    <xf applyBorder="1" applyAlignment="1" fillId="0" xfId="0" numFmtId="0" borderId="114" fontId="0">
      <alignment vertical="bottom" horizontal="general" wrapText="1"/>
    </xf>
    <xf applyBorder="1" fillId="0" xfId="0" numFmtId="1" borderId="115" applyFont="1" fontId="105" applyNumberFormat="1"/>
    <xf applyBorder="1" applyAlignment="1" fillId="49" xfId="0" numFmtId="0" borderId="116" applyFont="1" fontId="106" applyFill="1">
      <alignment vertical="bottom" horizontal="center"/>
    </xf>
    <xf applyBorder="1" applyAlignment="1" fillId="50" xfId="0" numFmtId="0" borderId="117" applyFont="1" fontId="107" applyFill="1">
      <alignment vertical="bottom" horizontal="center"/>
    </xf>
    <xf applyBorder="1" fillId="0" xfId="0" numFmtId="0" borderId="118" applyFont="1" fontId="108"/>
    <xf applyBorder="1" fillId="51" xfId="0" numFmtId="0" borderId="119" applyFont="1" fontId="109" applyFill="1"/>
    <xf applyBorder="1" fillId="52" xfId="0" numFmtId="0" borderId="120" applyFont="1" fontId="110" applyFill="1"/>
    <xf applyBorder="1" fillId="53" xfId="0" numFmtId="0" borderId="121" applyFont="1" fontId="111" applyFill="1"/>
    <xf applyBorder="1" applyAlignment="1" fillId="0" xfId="0" numFmtId="0" borderId="122" applyFont="1" fontId="112">
      <alignment vertical="bottom" horizontal="center"/>
    </xf>
    <xf applyBorder="1" applyAlignment="1" fillId="54" xfId="0" numFmtId="0" borderId="123" applyFont="1" fontId="113" applyFill="1">
      <alignment vertical="bottom" horizontal="center"/>
    </xf>
    <xf applyBorder="1" applyAlignment="1" fillId="55" xfId="0" numFmtId="0" borderId="124" applyFont="1" fontId="114" applyFill="1">
      <alignment vertical="bottom" horizontal="right" wrapText="1"/>
    </xf>
    <xf applyBorder="1" applyAlignment="1" fillId="56" xfId="0" numFmtId="0" borderId="125" applyFont="1" fontId="115" applyFill="1">
      <alignment vertical="bottom" horizontal="center"/>
    </xf>
    <xf applyBorder="1" applyAlignment="1" fillId="57" xfId="0" numFmtId="0" borderId="126" applyFont="1" fontId="116" applyFill="1">
      <alignment vertical="bottom" horizontal="center"/>
    </xf>
    <xf applyBorder="1" applyAlignment="1" fillId="58" xfId="0" numFmtId="0" borderId="127" applyFont="1" fontId="117" applyFill="1">
      <alignment vertical="bottom" horizontal="right"/>
    </xf>
    <xf applyBorder="1" fillId="0" xfId="0" numFmtId="0" borderId="128" applyFont="1" fontId="118"/>
    <xf applyBorder="1" fillId="59" xfId="0" numFmtId="0" borderId="129" applyFont="1" fontId="119" applyFill="1"/>
    <xf applyBorder="1" applyAlignment="1" fillId="60" xfId="0" numFmtId="0" borderId="130" applyFont="1" fontId="120" applyFill="1">
      <alignment vertical="bottom" horizontal="center"/>
    </xf>
    <xf applyBorder="1" fillId="0" xfId="0" numFmtId="0" borderId="131" applyFont="1" fontId="121"/>
    <xf applyBorder="1" fillId="61" xfId="0" numFmtId="0" borderId="132" applyFont="1" fontId="122" applyFill="1"/>
    <xf applyBorder="1" applyAlignment="1" fillId="0" xfId="0" numFmtId="0" borderId="133" applyFont="1" fontId="123">
      <alignment vertical="bottom" horizontal="center"/>
    </xf>
    <xf applyBorder="1" applyAlignment="1" fillId="62" xfId="0" numFmtId="0" borderId="134" applyFont="1" fontId="124" applyFill="1">
      <alignment vertical="bottom" horizontal="center"/>
    </xf>
    <xf applyBorder="1" applyAlignment="1" fillId="0" xfId="0" numFmtId="0" borderId="135" applyFont="1" fontId="125">
      <alignment vertical="bottom" horizontal="center"/>
    </xf>
    <xf applyBorder="1" applyAlignment="1" fillId="0" xfId="0" numFmtId="0" borderId="136" fontId="0">
      <alignment vertical="bottom" horizontal="general" wrapText="1"/>
    </xf>
    <xf applyBorder="1" applyAlignment="1" fillId="0" xfId="0" numFmtId="0" borderId="137" applyFont="1" fontId="126">
      <alignment vertical="bottom" horizontal="center"/>
    </xf>
    <xf applyBorder="1" fillId="63" xfId="0" numFmtId="0" borderId="138" applyFont="1" fontId="127" applyFill="1"/>
    <xf applyBorder="1" fillId="0" xfId="0" numFmtId="0" borderId="139" applyFont="1" fontId="128"/>
    <xf applyBorder="1" fillId="64" xfId="0" numFmtId="0" borderId="140" applyFont="1" fontId="129" applyFill="1"/>
    <xf applyBorder="1" applyAlignment="1" fillId="0" xfId="0" numFmtId="0" borderId="141" applyFont="1" fontId="130">
      <alignment vertical="bottom" horizontal="center"/>
    </xf>
    <xf applyBorder="1" fillId="65" xfId="0" numFmtId="0" borderId="142" applyFont="1" fontId="131" applyFill="1"/>
    <xf applyBorder="1" applyAlignment="1" fillId="66" xfId="0" numFmtId="0" borderId="143" applyFont="1" fontId="132" applyFill="1">
      <alignment vertical="bottom" horizontal="center"/>
    </xf>
    <xf applyBorder="1" fillId="67" xfId="0" numFmtId="0" borderId="144" applyFont="1" fontId="133" applyFill="1"/>
    <xf applyBorder="1" fillId="68" xfId="0" numFmtId="0" borderId="145" applyFont="1" fontId="134" applyFill="1"/>
    <xf applyBorder="1" fillId="69" xfId="0" numFmtId="170" borderId="146" applyFont="1" fontId="135" applyNumberFormat="1" applyFill="1"/>
    <xf applyBorder="1" fillId="0" xfId="0" numFmtId="0" borderId="147" applyFont="1" fontId="136"/>
    <xf applyBorder="1" applyAlignment="1" fillId="70" xfId="0" numFmtId="0" borderId="148" applyFont="1" fontId="137" applyFill="1">
      <alignment vertical="bottom" horizontal="center" wrapText="1"/>
    </xf>
    <xf applyBorder="1" applyAlignment="1" fillId="0" xfId="0" numFmtId="0" borderId="149" applyFont="1" fontId="138">
      <alignment vertical="bottom" horizontal="center"/>
    </xf>
    <xf applyBorder="1" applyAlignment="1" fillId="71" xfId="0" numFmtId="0" borderId="150" applyFont="1" fontId="139" applyFill="1">
      <alignment vertical="bottom" horizontal="center"/>
    </xf>
    <xf applyBorder="1" fillId="72" xfId="0" numFmtId="0" borderId="151" applyFont="1" fontId="140" applyFill="1"/>
    <xf applyBorder="1" fillId="0" xfId="0" numFmtId="0" borderId="152" applyFont="1" fontId="141"/>
    <xf applyBorder="1" applyAlignment="1" fillId="0" xfId="0" numFmtId="0" borderId="153" fontId="0">
      <alignment vertical="bottom" horizontal="general" wrapText="1"/>
    </xf>
    <xf applyBorder="1" applyAlignment="1" fillId="73" xfId="0" numFmtId="0" borderId="154" applyFont="1" fontId="142" applyFill="1">
      <alignment vertical="bottom" horizontal="right"/>
    </xf>
    <xf applyBorder="1" fillId="0" xfId="0" numFmtId="1" borderId="155" applyFont="1" fontId="143" applyNumberFormat="1"/>
    <xf applyBorder="1" applyAlignment="1" fillId="0" xfId="0" numFmtId="0" borderId="156" applyFont="1" fontId="144">
      <alignment vertical="bottom" horizontal="center" wrapText="1"/>
    </xf>
    <xf applyBorder="1" fillId="0" xfId="0" numFmtId="0" borderId="157" applyFont="1" fontId="145"/>
    <xf applyBorder="1" applyAlignment="1" fillId="74" xfId="0" numFmtId="0" borderId="158" applyFont="1" fontId="146" applyFill="1">
      <alignment vertical="bottom" horizontal="center"/>
    </xf>
    <xf applyAlignment="1" fillId="75" xfId="0" numFmtId="0" borderId="0" applyFont="1" fontId="147" applyFill="1">
      <alignment vertical="bottom" horizontal="center"/>
    </xf>
    <xf applyBorder="1" applyAlignment="1" fillId="0" xfId="0" numFmtId="0" borderId="159" applyFont="1" fontId="148">
      <alignment vertical="bottom" horizontal="right"/>
    </xf>
    <xf applyBorder="1" applyAlignment="1" fillId="0" xfId="0" numFmtId="0" borderId="160" applyFont="1" fontId="149">
      <alignment vertical="bottom" horizontal="center"/>
    </xf>
    <xf applyBorder="1" applyAlignment="1" fillId="0" xfId="0" numFmtId="0" borderId="161" applyFont="1" fontId="150">
      <alignment vertical="bottom" horizontal="center"/>
    </xf>
    <xf applyBorder="1" fillId="76" xfId="0" numFmtId="0" borderId="162" applyFont="1" fontId="151" applyFill="1"/>
    <xf applyBorder="1" applyAlignment="1" fillId="0" xfId="0" numFmtId="0" borderId="163" applyFont="1" fontId="152">
      <alignment vertical="bottom" horizontal="right"/>
    </xf>
    <xf applyBorder="1" applyAlignment="1" fillId="0" xfId="0" numFmtId="0" borderId="164" fontId="0">
      <alignment vertical="bottom" horizontal="general" wrapText="1"/>
    </xf>
    <xf applyBorder="1" applyAlignment="1" fillId="77" xfId="0" numFmtId="0" borderId="165" applyFont="1" fontId="153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81" width="16.57"/>
    <col min="2" customWidth="1" max="2" style="81" width="1.43"/>
    <col min="3" customWidth="1" max="3" style="81" width="15.57"/>
    <col min="4" customWidth="1" max="4" style="81" width="7.86"/>
    <col min="5" customWidth="1" max="5" style="81" width="16.57"/>
    <col min="6" customWidth="1" max="6" style="81" width="5.71"/>
    <col min="7" customWidth="1" max="7" style="81" width="17.71"/>
    <col min="8" customWidth="1" max="8" style="81" width="7.86"/>
    <col min="9" customWidth="1" max="9" style="81" width="15.57"/>
    <col min="10" customWidth="1" max="10" style="81" width="1.43"/>
    <col min="11" customWidth="1" max="11" style="81" width="16.57"/>
    <col min="12" customWidth="1" max="12" width="7.86"/>
    <col min="13" customWidth="1" max="13" style="81" width="12.29"/>
    <col min="14" customWidth="1" max="14" style="81" width="7.86"/>
    <col min="15" customWidth="1" max="15" style="81" width="11.14"/>
    <col min="16" customWidth="1" max="16" width="7.86"/>
  </cols>
  <sheetData>
    <row s="81" customFormat="1" r="1">
      <c s="31" r="A1"/>
      <c s="31" r="B1"/>
      <c s="31" r="C1"/>
      <c s="31" r="D1"/>
      <c s="31" r="E1"/>
      <c s="31" r="F1"/>
      <c s="31" r="G1"/>
      <c s="31" r="H1"/>
      <c s="31" r="I1"/>
      <c s="31" r="J1"/>
      <c s="31" r="K1"/>
    </row>
    <row s="81" customFormat="1" r="2">
      <c t="s" s="61" r="A2">
        <v>0</v>
      </c>
      <c s="107" r="B2"/>
      <c s="107" r="C2"/>
      <c s="107" r="D2"/>
      <c s="107" r="E2"/>
      <c s="107" r="F2"/>
      <c s="107" r="G2"/>
      <c s="107" r="H2"/>
      <c s="107" r="I2"/>
      <c s="107" r="J2"/>
      <c s="55" r="K2"/>
      <c s="87" r="L2"/>
    </row>
    <row customHeight="1" s="81" customFormat="1" r="3" ht="28.5">
      <c t="s" s="154" r="A3">
        <v>1</v>
      </c>
      <c s="107" r="B3"/>
      <c s="107" r="C3"/>
      <c s="107" r="D3"/>
      <c s="107" r="E3"/>
      <c s="107" r="F3"/>
      <c s="107" r="G3"/>
      <c s="107" r="H3"/>
      <c s="107" r="I3"/>
      <c s="107" r="J3"/>
      <c s="55" r="K3"/>
      <c s="87" r="L3"/>
    </row>
    <row r="4">
      <c s="101" r="A4"/>
      <c s="141" r="B4"/>
      <c s="141" r="C4"/>
      <c s="42" r="D4"/>
      <c t="s" s="138" r="E4">
        <v>2</v>
      </c>
      <c s="33" r="F4"/>
      <c s="169" r="G4"/>
      <c s="137" r="H4"/>
      <c s="141" r="I4"/>
      <c s="141" r="J4"/>
      <c s="166" r="K4"/>
      <c s="87" r="L4"/>
      <c s="26" r="M4"/>
      <c s="81" r="N4"/>
      <c s="81" r="O4"/>
      <c s="81" r="P4"/>
    </row>
    <row r="5">
      <c s="67" r="A5"/>
      <c s="26" r="B5"/>
      <c s="32" r="C5"/>
      <c t="s" s="9" r="D5">
        <v>3</v>
      </c>
      <c t="s" s="14" r="E5">
        <v>4</v>
      </c>
      <c t="s" s="9" r="F5">
        <v>5</v>
      </c>
      <c t="s" s="14" r="G5">
        <v>6</v>
      </c>
      <c t="s" s="9" r="H5">
        <v>7</v>
      </c>
      <c s="70" r="I5"/>
      <c s="26" r="J5"/>
      <c s="38" r="K5"/>
      <c s="87" r="L5"/>
      <c s="81" r="M5"/>
      <c s="26" r="N5"/>
      <c s="26" r="O5"/>
      <c s="26" r="P5"/>
    </row>
    <row r="6">
      <c s="67" r="A6"/>
      <c s="26" r="B6"/>
      <c s="32" r="C6"/>
      <c s="27" r="D6"/>
      <c t="s" s="14" r="E6">
        <v>8</v>
      </c>
      <c s="27" r="F6"/>
      <c t="s" s="14" r="G6">
        <v>9</v>
      </c>
      <c s="27" r="H6"/>
      <c s="70" r="I6"/>
      <c s="26" r="J6"/>
      <c s="38" r="K6"/>
      <c s="87" r="L6"/>
      <c s="81" r="M6"/>
      <c s="81" r="N6"/>
      <c s="26" r="O6"/>
      <c s="26" r="P6"/>
    </row>
    <row r="7">
      <c s="67" r="A7"/>
      <c s="26" r="B7"/>
      <c s="26" r="C7"/>
      <c s="66" r="D7"/>
      <c t="s" s="14" r="E7">
        <v>10</v>
      </c>
      <c s="118" r="F7"/>
      <c s="157" r="G7"/>
      <c s="89" r="H7"/>
      <c s="26" r="I7"/>
      <c s="26" r="J7"/>
      <c s="38" r="K7"/>
      <c s="87" r="L7"/>
      <c s="81" r="M7"/>
      <c s="26" r="N7"/>
      <c s="26" r="O7"/>
      <c s="26" r="P7"/>
    </row>
    <row r="8">
      <c s="67" r="A8"/>
      <c s="26" r="B8"/>
      <c s="26" r="C8"/>
      <c s="32" r="D8"/>
      <c t="s" s="14" r="E8">
        <v>11</v>
      </c>
      <c s="118" r="F8"/>
      <c s="157" r="G8"/>
      <c s="70" r="H8"/>
      <c s="26" r="I8"/>
      <c s="26" r="J8"/>
      <c s="38" r="K8"/>
      <c s="87" r="L8"/>
      <c s="81" r="M8"/>
      <c s="81" r="N8"/>
      <c s="26" r="O8"/>
      <c s="26" r="P8"/>
    </row>
    <row r="9">
      <c s="67" r="A9"/>
      <c s="26" r="B9"/>
      <c s="26" r="C9"/>
      <c s="26" r="D9"/>
      <c s="66" r="E9"/>
      <c t="s" s="9" r="F9">
        <v>12</v>
      </c>
      <c s="89" r="G9"/>
      <c s="26" r="H9"/>
      <c s="26" r="I9"/>
      <c s="26" r="J9"/>
      <c s="38" r="K9"/>
      <c s="87" r="L9"/>
      <c s="81" r="M9"/>
      <c s="81" r="N9"/>
      <c s="26" r="O9"/>
      <c s="81" r="P9"/>
    </row>
    <row r="10">
      <c s="67" r="A10"/>
      <c s="26" r="B10"/>
      <c s="126" r="C10"/>
      <c s="126" r="D10"/>
      <c s="93" r="E10"/>
      <c s="72" r="F10"/>
      <c s="45" r="G10"/>
      <c s="126" r="H10"/>
      <c s="126" r="I10"/>
      <c s="26" r="J10"/>
      <c s="38" r="K10"/>
      <c s="87" r="L10"/>
      <c s="81" r="M10"/>
      <c s="81" r="N10"/>
      <c s="81" r="O10"/>
      <c s="81" r="P10"/>
    </row>
    <row r="11">
      <c s="67" r="A11"/>
      <c s="32" r="B11"/>
      <c t="s" s="14" r="C11">
        <v>13</v>
      </c>
      <c t="s" s="14" r="D11">
        <v>14</v>
      </c>
      <c s="157" r="E11"/>
      <c s="27" r="F11"/>
      <c t="s" s="14" r="G11">
        <v>15</v>
      </c>
      <c s="118" r="H11"/>
      <c s="157" r="I11"/>
      <c s="70" r="J11"/>
      <c s="38" r="K11"/>
      <c s="87" r="L11"/>
      <c s="81" r="M11"/>
      <c s="81" r="N11"/>
      <c s="81" r="O11"/>
      <c s="81" r="P11"/>
    </row>
    <row r="12">
      <c s="67" r="A12"/>
      <c s="32" r="B12"/>
      <c t="s" s="14" r="C12">
        <v>16</v>
      </c>
      <c s="75" r="D12"/>
      <c t="s" s="14" r="E12">
        <v>17</v>
      </c>
      <c s="118" r="F12"/>
      <c s="157" r="G12"/>
      <c s="75" r="H12"/>
      <c t="s" s="14" r="I12">
        <v>18</v>
      </c>
      <c s="70" r="J12"/>
      <c s="38" r="K12"/>
      <c s="87" r="L12"/>
      <c s="26" r="M12"/>
      <c s="81" r="N12"/>
      <c s="26" r="O12"/>
      <c s="81" r="P12"/>
    </row>
    <row r="13">
      <c s="67" r="A13"/>
      <c s="93" r="B13"/>
      <c t="s" s="14" r="C13">
        <v>19</v>
      </c>
      <c s="19" r="D13"/>
      <c t="s" s="9" r="E13">
        <v>20</v>
      </c>
      <c t="s" s="14" r="F13">
        <v>21</v>
      </c>
      <c t="s" s="9" r="G13">
        <v>22</v>
      </c>
      <c s="19" r="H13"/>
      <c t="s" s="14" r="I13">
        <v>23</v>
      </c>
      <c s="70" r="J13"/>
      <c s="38" r="K13"/>
      <c s="87" r="L13"/>
      <c s="26" r="M13"/>
      <c s="81" r="N13"/>
      <c s="26" r="O13"/>
      <c s="81" r="P13"/>
    </row>
    <row r="14">
      <c s="35" r="A14"/>
      <c t="s" s="14" r="B14">
        <v>24</v>
      </c>
      <c s="157" r="C14"/>
      <c s="19" r="D14"/>
      <c s="72" r="E14"/>
      <c t="s" s="14" r="F14">
        <v>25</v>
      </c>
      <c s="72" r="G14"/>
      <c s="19" r="H14"/>
      <c t="s" s="14" r="I14">
        <v>26</v>
      </c>
      <c s="45" r="J14"/>
      <c s="38" r="K14"/>
      <c s="87" r="L14"/>
      <c s="26" r="M14"/>
      <c s="81" r="N14"/>
      <c s="26" r="O14"/>
    </row>
    <row r="15">
      <c t="s" s="37" r="A15">
        <v>27</v>
      </c>
      <c s="118" r="B15"/>
      <c s="157" r="C15"/>
      <c s="19" r="D15"/>
      <c s="72" r="E15"/>
      <c t="s" s="14" r="F15">
        <v>28</v>
      </c>
      <c s="72" r="G15"/>
      <c s="19" r="H15"/>
      <c t="s" s="14" r="I15">
        <v>29</v>
      </c>
      <c s="157" r="J15"/>
      <c s="104" r="K15"/>
      <c s="87" r="L15"/>
      <c s="26" r="M15"/>
      <c s="81" r="N15"/>
      <c s="26" r="O15"/>
    </row>
    <row r="16">
      <c t="s" s="37" r="A16">
        <v>30</v>
      </c>
      <c s="75" r="B16"/>
      <c t="s" s="14" r="C16">
        <v>31</v>
      </c>
      <c s="19" r="D16"/>
      <c s="72" r="E16"/>
      <c t="s" s="14" r="F16">
        <v>32</v>
      </c>
      <c s="72" r="G16"/>
      <c s="19" r="H16"/>
      <c t="s" s="82" r="I16">
        <v>33</v>
      </c>
      <c s="118" r="J16"/>
      <c s="48" r="K16"/>
      <c s="87" r="L16"/>
      <c s="26" r="M16"/>
      <c s="81" r="N16"/>
      <c s="26" r="O16"/>
    </row>
    <row r="17">
      <c s="47" r="A17"/>
      <c s="47" r="C17"/>
      <c s="32" r="D17"/>
      <c s="72" r="E17"/>
      <c t="s" s="14" r="F17">
        <v>34</v>
      </c>
      <c s="72" r="G17"/>
      <c s="19" r="H17"/>
      <c t="s" s="14" r="I17">
        <v>35</v>
      </c>
      <c s="75" r="J17"/>
      <c t="s" s="82" r="K17">
        <v>36</v>
      </c>
      <c s="87" r="L17"/>
      <c s="26" r="M17"/>
      <c s="81" r="N17"/>
      <c s="26" r="O17"/>
    </row>
    <row r="18">
      <c s="67" r="A18"/>
      <c s="26" r="B18"/>
      <c s="26" r="C18"/>
      <c s="32" r="D18"/>
      <c s="27" r="E18"/>
      <c t="s" s="14" r="F18">
        <v>37</v>
      </c>
      <c s="27" r="G18"/>
      <c s="70" r="H18"/>
      <c s="153" r="I18"/>
      <c s="26" r="J18"/>
      <c s="92" r="K18"/>
      <c s="87" r="L18"/>
      <c s="26" r="M18"/>
      <c s="81" r="N18"/>
      <c s="26" r="O18"/>
    </row>
    <row r="19">
      <c s="67" r="A19"/>
      <c s="26" r="B19"/>
      <c s="26" r="C19"/>
      <c s="32" r="D19"/>
      <c t="s" s="14" r="E19">
        <v>38</v>
      </c>
      <c s="118" r="F19"/>
      <c s="157" r="G19"/>
      <c s="70" r="H19"/>
      <c s="26" r="I19"/>
      <c s="26" r="J19"/>
      <c s="38" r="K19"/>
      <c s="87" r="L19"/>
      <c s="26" r="M19"/>
      <c s="81" r="N19"/>
      <c s="26" r="O19"/>
    </row>
    <row r="20">
      <c s="67" r="A20"/>
      <c s="26" r="B20"/>
      <c s="26" r="C20"/>
      <c s="32" r="D20"/>
      <c t="s" s="14" r="E20">
        <v>39</v>
      </c>
      <c s="75" r="F20"/>
      <c t="s" s="14" r="G20">
        <v>40</v>
      </c>
      <c s="70" r="H20"/>
      <c s="26" r="I20"/>
      <c s="26" r="J20"/>
      <c s="38" r="K20"/>
      <c s="87" r="L20"/>
    </row>
    <row r="21">
      <c s="67" r="A21"/>
      <c s="26" r="B21"/>
      <c s="26" r="C21"/>
      <c s="32" r="D21"/>
      <c t="s" s="14" r="E21">
        <v>41</v>
      </c>
      <c s="19" r="F21"/>
      <c t="s" s="14" r="G21">
        <v>42</v>
      </c>
      <c s="70" r="H21"/>
      <c s="26" r="I21"/>
      <c s="26" r="J21"/>
      <c s="38" r="K21"/>
      <c s="87" r="L21"/>
    </row>
    <row r="22">
      <c s="67" r="A22"/>
      <c s="26" r="B22"/>
      <c s="26" r="C22"/>
      <c s="32" r="D22"/>
      <c t="s" s="14" r="E22">
        <v>43</v>
      </c>
      <c s="19" r="F22"/>
      <c t="s" s="14" r="G22">
        <v>44</v>
      </c>
      <c s="70" r="H22"/>
      <c s="26" r="I22"/>
      <c s="26" r="J22"/>
      <c s="38" r="K22"/>
      <c s="87" r="L22"/>
    </row>
    <row s="81" customFormat="1" r="23">
      <c s="3" r="A23"/>
      <c s="165" r="B23"/>
      <c s="165" r="C23"/>
      <c s="139" r="D23"/>
      <c t="s" s="147" r="E23">
        <v>45</v>
      </c>
      <c s="145" r="F23"/>
      <c t="s" s="147" r="G23">
        <v>46</v>
      </c>
      <c s="76" r="H23"/>
      <c s="165" r="I23"/>
      <c s="165" r="J23"/>
      <c s="39" r="K23"/>
      <c s="87" r="L23"/>
    </row>
    <row r="24">
      <c s="141" r="A24"/>
      <c s="141" r="B24"/>
      <c s="141" r="C24"/>
      <c s="141" r="D24"/>
      <c s="141" r="E24"/>
      <c s="141" r="F24"/>
      <c s="141" r="G24"/>
      <c s="141" r="H24"/>
      <c s="141" r="I24"/>
      <c s="141" r="J24"/>
      <c s="141" r="K24"/>
    </row>
    <row r="25">
      <c s="26" r="A25"/>
      <c s="26" r="B25"/>
      <c s="26" r="C25"/>
      <c s="26" r="D25"/>
      <c s="26" r="E25"/>
      <c s="26" r="F25"/>
      <c s="26" r="G25"/>
      <c s="26" r="H25"/>
      <c s="26" r="I25"/>
      <c s="26" r="J25"/>
      <c s="26" r="K25"/>
    </row>
    <row s="81" customFormat="1" r="26">
      <c s="165" r="A26"/>
      <c s="165" r="B26"/>
      <c s="165" r="C26"/>
      <c s="165" r="D26"/>
      <c s="165" r="E26"/>
      <c s="165" r="F26"/>
      <c s="165" r="G26"/>
      <c s="165" r="H26"/>
      <c s="165" r="I26"/>
      <c s="165" r="J26"/>
      <c s="165" r="K26"/>
    </row>
    <row customHeight="1" s="81" customFormat="1" r="27" ht="25.5">
      <c t="s" s="154" r="A27">
        <v>47</v>
      </c>
      <c s="107" r="B27"/>
      <c s="107" r="C27"/>
      <c s="107" r="D27"/>
      <c s="107" r="E27"/>
      <c s="107" r="F27"/>
      <c s="107" r="G27"/>
      <c s="107" r="H27"/>
      <c s="107" r="I27"/>
      <c s="107" r="J27"/>
      <c s="55" r="K27"/>
      <c s="87" r="L27"/>
    </row>
    <row r="28">
      <c s="101" r="A28"/>
      <c s="141" r="B28"/>
      <c s="141" r="C28"/>
      <c s="42" r="D28"/>
      <c t="s" s="138" r="E28">
        <v>2</v>
      </c>
      <c s="33" r="F28"/>
      <c s="169" r="G28"/>
      <c s="137" r="H28"/>
      <c s="141" r="I28"/>
      <c s="141" r="J28"/>
      <c s="166" r="K28"/>
      <c s="87" r="L28"/>
    </row>
    <row r="29">
      <c s="67" r="A29"/>
      <c s="26" r="B29"/>
      <c s="32" r="C29"/>
      <c t="s" s="9" r="D29">
        <v>7</v>
      </c>
      <c t="s" s="129" r="E29">
        <v>48</v>
      </c>
      <c s="47" r="F29"/>
      <c s="28" r="G29"/>
      <c t="s" s="9" r="H29">
        <v>3</v>
      </c>
      <c s="70" r="I29"/>
      <c s="26" r="J29"/>
      <c s="38" r="K29"/>
      <c s="87" r="L29"/>
    </row>
    <row r="30">
      <c s="67" r="A30"/>
      <c s="26" r="B30"/>
      <c s="32" r="C30"/>
      <c s="27" r="D30"/>
      <c s="51" r="E30"/>
      <c s="163" r="F30"/>
      <c s="77" r="G30"/>
      <c s="27" r="H30"/>
      <c s="70" r="I30"/>
      <c s="26" r="J30"/>
      <c s="38" r="K30"/>
      <c s="87" r="L30"/>
    </row>
    <row r="31">
      <c s="67" r="A31"/>
      <c s="26" r="B31"/>
      <c s="26" r="C31"/>
      <c s="66" r="D31"/>
      <c s="51" r="E31"/>
      <c s="163" r="F31"/>
      <c s="77" r="G31"/>
      <c s="89" r="H31"/>
      <c s="26" r="I31"/>
      <c s="26" r="J31"/>
      <c s="38" r="K31"/>
      <c s="87" r="L31"/>
    </row>
    <row s="81" customFormat="1" r="32">
      <c s="67" r="A32"/>
      <c s="26" r="B32"/>
      <c s="26" r="C32"/>
      <c s="32" r="D32"/>
      <c s="25" r="E32"/>
      <c s="24" r="F32"/>
      <c s="65" r="G32"/>
      <c s="70" r="H32"/>
      <c s="26" r="I32"/>
      <c s="26" r="J32"/>
      <c s="38" r="K32"/>
      <c s="87" r="L32"/>
    </row>
    <row r="33">
      <c s="67" r="A33"/>
      <c s="26" r="B33"/>
      <c s="26" r="C33"/>
      <c s="26" r="D33"/>
      <c s="66" r="E33"/>
      <c t="s" s="9" r="F33">
        <v>49</v>
      </c>
      <c s="89" r="G33"/>
      <c s="26" r="H33"/>
      <c s="26" r="I33"/>
      <c s="26" r="J33"/>
      <c s="38" r="K33"/>
      <c s="87" r="L33"/>
    </row>
    <row r="34">
      <c s="67" r="A34"/>
      <c s="26" r="B34"/>
      <c s="126" r="C34"/>
      <c s="126" r="D34"/>
      <c s="93" r="E34"/>
      <c s="72" r="F34"/>
      <c s="45" r="G34"/>
      <c s="126" r="H34"/>
      <c s="126" r="I34"/>
      <c s="26" r="J34"/>
      <c s="38" r="K34"/>
      <c s="87" r="L34"/>
    </row>
    <row r="35">
      <c s="67" r="A35"/>
      <c s="32" r="B35"/>
      <c t="s" s="120" r="C35">
        <v>15</v>
      </c>
      <c s="118" r="D35"/>
      <c s="157" r="E35"/>
      <c s="27" r="F35"/>
      <c t="s" s="14" r="G35">
        <v>14</v>
      </c>
      <c s="118" r="H35"/>
      <c s="157" r="I35"/>
      <c s="70" r="J35"/>
      <c s="38" r="K35"/>
      <c s="87" r="L35"/>
    </row>
    <row r="36">
      <c s="67" r="A36"/>
      <c s="32" r="B36"/>
      <c t="s" s="14" r="C36">
        <v>18</v>
      </c>
      <c s="75" r="D36"/>
      <c t="s" s="9" r="E36">
        <v>22</v>
      </c>
      <c t="s" s="129" r="F36">
        <v>47</v>
      </c>
      <c t="s" s="9" r="G36">
        <v>20</v>
      </c>
      <c s="75" r="H36"/>
      <c t="s" s="14" r="I36">
        <v>13</v>
      </c>
      <c s="70" r="J36"/>
      <c s="38" r="K36"/>
      <c s="87" r="L36"/>
    </row>
    <row r="37">
      <c s="67" r="A37"/>
      <c s="32" r="B37"/>
      <c t="s" s="14" r="C37">
        <v>23</v>
      </c>
      <c s="19" r="D37"/>
      <c s="72" r="E37"/>
      <c s="23" r="F37"/>
      <c s="72" r="G37"/>
      <c s="19" r="H37"/>
      <c t="s" s="14" r="I37">
        <v>16</v>
      </c>
      <c s="70" r="J37"/>
      <c s="38" r="K37"/>
      <c s="87" r="L37"/>
    </row>
    <row r="38">
      <c s="67" r="A38"/>
      <c s="93" r="B38"/>
      <c t="s" s="14" r="C38">
        <v>26</v>
      </c>
      <c s="19" r="D38"/>
      <c s="72" r="E38"/>
      <c s="23" r="F38"/>
      <c s="72" r="G38"/>
      <c s="19" r="H38"/>
      <c t="s" s="14" r="I38">
        <v>19</v>
      </c>
      <c s="45" r="J38"/>
      <c s="38" r="K38"/>
      <c s="87" r="L38"/>
    </row>
    <row r="39">
      <c s="35" r="A39"/>
      <c t="s" s="14" r="B39">
        <v>29</v>
      </c>
      <c s="157" r="C39"/>
      <c s="19" r="D39"/>
      <c s="72" r="E39"/>
      <c s="23" r="F39"/>
      <c s="72" r="G39"/>
      <c s="19" r="H39"/>
      <c t="s" s="14" r="I39">
        <v>24</v>
      </c>
      <c s="157" r="J39"/>
      <c s="104" r="K39"/>
      <c s="87" r="L39"/>
    </row>
    <row r="40">
      <c t="s" s="37" r="A40">
        <v>33</v>
      </c>
      <c s="118" r="B40"/>
      <c s="157" r="C40"/>
      <c s="19" r="D40"/>
      <c s="72" r="E40"/>
      <c s="23" r="F40"/>
      <c s="72" r="G40"/>
      <c s="19" r="H40"/>
      <c t="s" s="82" r="I40">
        <v>27</v>
      </c>
      <c s="118" r="J40"/>
      <c s="48" r="K40"/>
      <c s="87" r="L40"/>
    </row>
    <row r="41">
      <c t="s" s="37" r="A41">
        <v>36</v>
      </c>
      <c s="75" r="B41"/>
      <c t="s" s="14" r="C41">
        <v>35</v>
      </c>
      <c s="19" r="D41"/>
      <c s="72" r="E41"/>
      <c s="23" r="F41"/>
      <c s="72" r="G41"/>
      <c s="19" r="H41"/>
      <c t="s" s="14" r="I41">
        <v>31</v>
      </c>
      <c s="75" r="J41"/>
      <c t="s" s="82" r="K41">
        <v>30</v>
      </c>
      <c s="87" r="L41"/>
    </row>
    <row r="42">
      <c s="7" r="A42"/>
      <c s="81" r="B42"/>
      <c s="6" r="C42"/>
      <c s="32" r="D42"/>
      <c s="72" r="E42"/>
      <c s="23" r="F42"/>
      <c s="72" r="G42"/>
      <c s="70" r="H42"/>
      <c s="6" r="I42"/>
      <c s="81" r="J42"/>
      <c s="59" r="K42"/>
      <c s="87" r="L42"/>
    </row>
    <row r="43">
      <c s="67" r="A43"/>
      <c s="26" r="B43"/>
      <c s="26" r="C43"/>
      <c s="32" r="D43"/>
      <c s="27" r="E43"/>
      <c s="68" r="F43"/>
      <c s="27" r="G43"/>
      <c s="70" r="H43"/>
      <c s="26" r="I43"/>
      <c s="26" r="J43"/>
      <c s="38" r="K43"/>
      <c s="87" r="L43"/>
    </row>
    <row r="44">
      <c s="67" r="A44"/>
      <c s="26" r="B44"/>
      <c s="26" r="C44"/>
      <c s="32" r="D44"/>
      <c t="s" s="14" r="E44">
        <v>38</v>
      </c>
      <c s="118" r="F44"/>
      <c s="157" r="G44"/>
      <c s="70" r="H44"/>
      <c s="26" r="I44"/>
      <c s="26" r="J44"/>
      <c s="38" r="K44"/>
      <c s="87" r="L44"/>
    </row>
    <row r="45">
      <c s="67" r="A45"/>
      <c s="26" r="B45"/>
      <c s="26" r="C45"/>
      <c s="32" r="D45"/>
      <c t="s" s="14" r="E45">
        <v>40</v>
      </c>
      <c s="75" r="F45"/>
      <c t="s" s="14" r="G45">
        <v>39</v>
      </c>
      <c s="70" r="H45"/>
      <c s="26" r="I45"/>
      <c s="26" r="J45"/>
      <c s="38" r="K45"/>
      <c s="87" r="L45"/>
    </row>
    <row r="46">
      <c s="67" r="A46"/>
      <c s="26" r="B46"/>
      <c s="26" r="C46"/>
      <c s="32" r="D46"/>
      <c t="s" s="127" r="E46">
        <v>50</v>
      </c>
      <c s="19" r="F46"/>
      <c t="s" s="127" r="G46">
        <v>51</v>
      </c>
      <c s="70" r="H46"/>
      <c s="26" r="I46"/>
      <c s="26" r="J46"/>
      <c s="38" r="K46"/>
      <c s="87" r="L46"/>
    </row>
    <row r="47">
      <c s="67" r="A47"/>
      <c s="26" r="B47"/>
      <c s="26" r="C47"/>
      <c s="32" r="D47"/>
      <c t="s" s="127" r="E47">
        <v>52</v>
      </c>
      <c s="19" r="F47"/>
      <c t="s" s="127" r="G47">
        <v>53</v>
      </c>
      <c s="70" r="H47"/>
      <c s="26" r="I47"/>
      <c s="26" r="J47"/>
      <c s="38" r="K47"/>
      <c s="87" r="L47"/>
    </row>
    <row s="81" customFormat="1" r="48">
      <c s="3" r="A48"/>
      <c s="165" r="B48"/>
      <c s="165" r="C48"/>
      <c s="139" r="D48"/>
      <c t="s" s="147" r="E48">
        <v>46</v>
      </c>
      <c s="145" r="F48"/>
      <c t="s" s="147" r="G48">
        <v>45</v>
      </c>
      <c s="76" r="H48"/>
      <c s="165" r="I48"/>
      <c s="165" r="J48"/>
      <c s="39" r="K48"/>
      <c s="87" r="L48"/>
    </row>
    <row r="49">
      <c s="98" r="A49"/>
      <c s="98" r="B49"/>
      <c s="98" r="C49"/>
      <c s="98" r="D49"/>
      <c s="98" r="E49"/>
      <c s="98" r="F49"/>
      <c s="98" r="G49"/>
      <c s="98" r="H49"/>
      <c s="98" r="I49"/>
      <c s="98" r="J49"/>
      <c s="98" r="K49"/>
    </row>
    <row r="51">
      <c s="81" r="D51"/>
      <c s="81" r="E51"/>
      <c s="81" r="F51"/>
      <c s="81" r="G51"/>
      <c s="81" r="H51"/>
    </row>
    <row r="52">
      <c s="81" r="D52"/>
      <c s="81" r="E52"/>
      <c s="81" r="F52"/>
      <c s="81" r="G52"/>
      <c s="81" r="H52"/>
    </row>
    <row r="53">
      <c s="81" r="D53"/>
      <c s="81" r="E53"/>
      <c s="81" r="F53"/>
      <c s="81" r="G53"/>
      <c s="81" r="H53"/>
    </row>
    <row r="54">
      <c s="81" r="D54"/>
      <c s="81" r="E54"/>
      <c s="81" r="F54"/>
      <c s="81" r="G54"/>
      <c s="81" r="H54"/>
    </row>
    <row r="55">
      <c s="81" r="D55"/>
      <c s="81" r="E55"/>
      <c s="81" r="F55"/>
      <c s="81" r="G55"/>
      <c s="81" r="H55"/>
    </row>
    <row r="56">
      <c s="81" r="D56"/>
      <c s="81" r="E56"/>
      <c s="81" r="F56"/>
      <c s="81" r="G56"/>
      <c s="81" r="H56"/>
    </row>
    <row r="57">
      <c s="81" r="D57"/>
      <c s="81" r="E57"/>
      <c s="81" r="F57"/>
      <c s="81" r="G57"/>
      <c s="81" r="H57"/>
    </row>
    <row r="58">
      <c s="81" r="D58"/>
      <c s="81" r="E58"/>
      <c s="81" r="F58"/>
      <c s="81" r="G58"/>
      <c s="81" r="H58"/>
    </row>
    <row r="59">
      <c s="81" r="D59"/>
      <c s="81" r="E59"/>
      <c s="81" r="F59"/>
      <c s="81" r="G59"/>
      <c s="81" r="H59"/>
    </row>
    <row r="60">
      <c s="81" r="D60"/>
      <c s="81" r="E60"/>
      <c s="81" r="F60"/>
      <c s="81" r="G60"/>
      <c s="81" r="H60"/>
    </row>
    <row r="61">
      <c s="81" r="D61"/>
      <c s="81" r="E61"/>
      <c s="81" r="F61"/>
      <c s="81" r="G61"/>
      <c s="81" r="H61"/>
    </row>
    <row r="62">
      <c s="81" r="D62"/>
      <c s="81" r="E62"/>
      <c s="81" r="F62"/>
      <c s="81" r="G62"/>
      <c s="81" r="H62"/>
    </row>
    <row r="63">
      <c s="81" r="D63"/>
      <c s="81" r="E63"/>
      <c s="81" r="F63"/>
      <c s="81" r="G63"/>
      <c s="81" r="H63"/>
    </row>
  </sheetData>
  <mergeCells count="23">
    <mergeCell ref="A2:K2"/>
    <mergeCell ref="A3:K3"/>
    <mergeCell ref="E4:G4"/>
    <mergeCell ref="E7:G7"/>
    <mergeCell ref="E8:G8"/>
    <mergeCell ref="D11:E11"/>
    <mergeCell ref="G11:I11"/>
    <mergeCell ref="E12:G12"/>
    <mergeCell ref="B14:C14"/>
    <mergeCell ref="A15:C15"/>
    <mergeCell ref="I15:J15"/>
    <mergeCell ref="I16:K16"/>
    <mergeCell ref="E19:G19"/>
    <mergeCell ref="A27:K27"/>
    <mergeCell ref="E28:G28"/>
    <mergeCell ref="E29:G29"/>
    <mergeCell ref="C35:E35"/>
    <mergeCell ref="G35:I35"/>
    <mergeCell ref="B39:C39"/>
    <mergeCell ref="I39:J39"/>
    <mergeCell ref="A40:C40"/>
    <mergeCell ref="I40:K40"/>
    <mergeCell ref="E44:G44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81" width="16.57"/>
    <col min="2" customWidth="1" max="2" style="81" width="15.57"/>
    <col min="3" customWidth="1" max="4" style="81" width="17.71"/>
    <col min="5" customWidth="1" max="5" style="81" width="9.0"/>
    <col min="6" customWidth="1" max="6" style="81" width="19.86"/>
    <col min="7" customWidth="1" max="7" style="81" width="12.29"/>
    <col min="8" customWidth="1" max="8" style="81" width="-0.7"/>
    <col min="9" customWidth="1" max="9" style="81" width="16.57"/>
    <col min="10" customWidth="1" max="10" style="81" width="9.0"/>
    <col min="11" customWidth="1" max="11" style="81" width="17.71"/>
    <col min="12" customWidth="1" max="12" style="81" width="11.14"/>
    <col min="13" customWidth="1" max="13" style="81" width="7.86"/>
    <col min="14" customWidth="1" max="14" style="81" width="5.71"/>
    <col min="15" customWidth="1" max="15" style="81" width="12.29"/>
  </cols>
  <sheetData>
    <row s="81" customFormat="1" r="1">
      <c s="31" r="D1"/>
      <c s="31" r="E1"/>
      <c s="31" r="F1"/>
    </row>
    <row s="81" customFormat="1" r="2">
      <c s="31" r="A2"/>
      <c s="31" r="B2"/>
      <c s="29" r="C2"/>
      <c t="s" s="134" r="D2">
        <v>54</v>
      </c>
      <c s="33" r="E2"/>
      <c s="95" r="F2"/>
      <c s="87" r="G2"/>
    </row>
    <row customHeight="1" s="81" customFormat="1" r="3" ht="51.0">
      <c t="s" s="16" r="A3">
        <v>55</v>
      </c>
      <c t="s" s="12" r="B3">
        <v>56</v>
      </c>
      <c s="62" r="C3"/>
      <c t="s" s="84" r="D3">
        <v>57</v>
      </c>
      <c t="s" s="152" r="E3">
        <v>58</v>
      </c>
      <c t="s" s="170" r="F3">
        <v>59</v>
      </c>
      <c s="87" r="G3"/>
    </row>
    <row r="4">
      <c t="s" s="7" r="A4">
        <v>2</v>
      </c>
      <c s="144" r="B4">
        <v>5</v>
      </c>
      <c s="105" r="C4"/>
      <c t="s" s="50" r="D4">
        <v>60</v>
      </c>
      <c t="s" s="131" r="E4">
        <v>61</v>
      </c>
      <c s="155" r="F4">
        <v>50</v>
      </c>
      <c s="87" r="G4"/>
    </row>
    <row r="5">
      <c t="s" s="94" r="A5">
        <v>62</v>
      </c>
      <c s="111" r="B5">
        <v>15</v>
      </c>
      <c s="105" r="C5"/>
      <c t="s" s="50" r="D5">
        <v>63</v>
      </c>
      <c t="s" s="131" r="E5">
        <v>64</v>
      </c>
      <c s="155" r="F5">
        <v>100</v>
      </c>
      <c s="87" r="G5"/>
    </row>
    <row r="6">
      <c t="s" s="94" r="A6">
        <v>65</v>
      </c>
      <c s="41" r="B6">
        <v>40</v>
      </c>
      <c s="105" r="C6"/>
      <c t="s" s="50" r="D6">
        <v>66</v>
      </c>
      <c t="s" s="131" r="E6">
        <v>67</v>
      </c>
      <c s="155" r="F6">
        <v>250</v>
      </c>
      <c s="87" r="G6"/>
    </row>
    <row r="7">
      <c t="s" s="94" r="A7">
        <v>68</v>
      </c>
      <c s="52" r="B7">
        <v>35</v>
      </c>
      <c s="105" r="C7"/>
      <c t="s" s="50" r="D7">
        <v>69</v>
      </c>
      <c t="s" s="131" r="E7">
        <v>70</v>
      </c>
      <c s="155" r="F7">
        <v>550</v>
      </c>
      <c s="87" r="G7"/>
    </row>
    <row r="8">
      <c t="s" s="94" r="A8">
        <v>71</v>
      </c>
      <c s="125" r="B8">
        <v>2.5</v>
      </c>
      <c s="105" r="C8"/>
      <c t="s" s="50" r="D8">
        <v>72</v>
      </c>
      <c t="s" s="131" r="E8">
        <v>73</v>
      </c>
      <c s="155" r="F8">
        <v>1</v>
      </c>
      <c s="87" r="G8"/>
    </row>
    <row s="81" customFormat="1" r="9">
      <c t="s" s="64" r="A9">
        <v>74</v>
      </c>
      <c s="5" r="B9">
        <v>2.5</v>
      </c>
      <c s="105" r="C9"/>
      <c t="s" s="50" r="D9">
        <v>75</v>
      </c>
      <c t="s" s="131" r="E9">
        <v>76</v>
      </c>
      <c s="155" r="F9">
        <v>1</v>
      </c>
      <c s="87" r="G9"/>
    </row>
    <row r="10">
      <c t="s" s="109" r="A10">
        <v>77</v>
      </c>
      <c s="53" r="B10">
        <f>SUM(B4:B9)</f>
        <v>100</v>
      </c>
      <c s="54" r="C10"/>
      <c t="s" s="50" r="D10">
        <v>78</v>
      </c>
      <c s="131" r="E10"/>
      <c s="155" r="F10">
        <v>1</v>
      </c>
      <c s="87" r="G10"/>
    </row>
    <row s="81" customFormat="1" r="11">
      <c s="49" r="A11"/>
      <c s="103" r="B11"/>
      <c s="54" r="C11"/>
      <c t="s" s="50" r="D11">
        <v>79</v>
      </c>
      <c s="131" r="E11"/>
      <c s="155" r="F11">
        <v>1</v>
      </c>
      <c s="87" r="G11"/>
    </row>
    <row s="81" customFormat="1" r="12">
      <c t="s" s="61" r="A12">
        <v>80</v>
      </c>
      <c s="55" r="B12"/>
      <c s="122" r="C12"/>
      <c t="s" s="90" r="D12">
        <v>81</v>
      </c>
      <c s="158" r="E12"/>
      <c s="58" r="F12">
        <v>1</v>
      </c>
      <c s="87" r="G12"/>
    </row>
    <row r="13">
      <c t="s" s="13" r="A13">
        <v>82</v>
      </c>
      <c s="143" r="B13"/>
      <c s="96" r="C13"/>
      <c s="109" r="D13"/>
      <c s="21" r="E13"/>
      <c s="109" r="F13"/>
    </row>
    <row r="14">
      <c t="s" s="94" r="A14">
        <v>83</v>
      </c>
      <c s="156" r="B14"/>
      <c s="96" r="C14"/>
      <c s="81" r="D14"/>
      <c s="81" r="E14"/>
      <c s="81" r="F14"/>
    </row>
    <row r="15">
      <c t="s" s="94" r="A15">
        <v>84</v>
      </c>
      <c s="149" r="B15">
        <v>10000</v>
      </c>
      <c s="96" r="C15"/>
      <c s="81" r="D15"/>
      <c s="81" r="E15"/>
      <c s="81" r="F15"/>
    </row>
    <row r="16">
      <c t="s" s="94" r="A16">
        <v>85</v>
      </c>
      <c s="156" r="B16"/>
      <c s="96" r="C16"/>
      <c s="81" r="D16"/>
      <c s="81" r="E16"/>
      <c s="81" r="F16"/>
    </row>
    <row s="81" customFormat="1" r="17">
      <c t="s" s="64" r="A17">
        <v>86</v>
      </c>
      <c s="142" r="B17">
        <v>10000</v>
      </c>
      <c s="96" r="C17"/>
      <c s="81" r="D17"/>
      <c s="81" r="E17"/>
      <c s="81" r="F17"/>
    </row>
    <row s="81" customFormat="1" r="18">
      <c s="132" r="A18"/>
      <c s="151" r="B18"/>
      <c s="103" r="C18"/>
      <c s="103" r="D18"/>
      <c s="103" r="E18"/>
      <c s="49" r="F18"/>
      <c s="31" r="G18"/>
      <c s="31" r="I18"/>
      <c s="31" r="J18"/>
      <c s="31" r="K18"/>
      <c s="31" r="L18"/>
      <c s="31" r="M18"/>
      <c s="31" r="N18"/>
      <c s="31" r="O18"/>
    </row>
    <row r="19">
      <c t="s" s="134" r="A19">
        <v>87</v>
      </c>
      <c s="33" r="B19"/>
      <c s="33" r="C19"/>
      <c s="33" r="D19"/>
      <c s="33" r="E19"/>
      <c s="33" r="F19"/>
      <c s="95" r="G19"/>
      <c s="140" r="H19"/>
      <c t="s" s="134" r="I19">
        <v>88</v>
      </c>
      <c s="33" r="J19"/>
      <c s="33" r="K19"/>
      <c s="33" r="L19"/>
      <c s="33" r="M19"/>
      <c s="33" r="N19"/>
      <c s="95" r="O19"/>
      <c s="87" r="P19"/>
    </row>
    <row customHeight="1" s="81" customFormat="1" r="20" ht="51.0">
      <c t="s" s="121" r="A20">
        <v>89</v>
      </c>
      <c t="s" s="152" r="B20">
        <v>90</v>
      </c>
      <c t="s" s="1" r="C20">
        <v>91</v>
      </c>
      <c t="s" s="1" r="D20">
        <v>92</v>
      </c>
      <c t="s" s="152" r="E20">
        <v>93</v>
      </c>
      <c t="s" s="1" r="F20">
        <v>84</v>
      </c>
      <c t="s" s="2" r="G20">
        <v>94</v>
      </c>
      <c s="140" r="H20"/>
      <c t="s" s="121" r="I20">
        <v>89</v>
      </c>
      <c t="s" s="152" r="J20">
        <v>90</v>
      </c>
      <c t="s" s="1" r="K20">
        <v>91</v>
      </c>
      <c t="s" s="1" r="L20">
        <v>92</v>
      </c>
      <c t="s" s="152" r="M20">
        <v>93</v>
      </c>
      <c t="s" s="1" r="N20">
        <v>84</v>
      </c>
      <c t="s" s="2" r="O20">
        <v>94</v>
      </c>
      <c s="87" r="P20"/>
    </row>
    <row r="21">
      <c t="s" s="50" r="A21">
        <v>2</v>
      </c>
      <c s="167" r="B21">
        <v>45</v>
      </c>
      <c s="167" r="C21">
        <f>($B$4*B21)*0.01</f>
        <v>2.25</v>
      </c>
      <c t="s" s="14" r="D21">
        <v>95</v>
      </c>
      <c s="14" r="E21">
        <v>0</v>
      </c>
      <c s="100" r="F21">
        <f>($B$15*C21)/100.0</f>
        <v>225</v>
      </c>
      <c s="56" r="G21">
        <f>0.19*F21</f>
        <v>42.75</v>
      </c>
      <c s="140" r="H21"/>
      <c t="s" s="50" r="I21">
        <v>2</v>
      </c>
      <c s="167" r="J21">
        <v>45</v>
      </c>
      <c s="167" r="K21">
        <f>($B$4*J21)*0.01</f>
        <v>2.25</v>
      </c>
      <c t="s" s="14" r="L21">
        <v>95</v>
      </c>
      <c s="14" r="M21">
        <v>0</v>
      </c>
      <c s="100" r="N21">
        <f>($B$15*K21)/100.0</f>
        <v>225</v>
      </c>
      <c s="56" r="O21">
        <f>0.19*N21</f>
        <v>42.75</v>
      </c>
      <c s="87" r="P21"/>
    </row>
    <row r="22">
      <c t="s" s="50" r="A22">
        <v>48</v>
      </c>
      <c s="167" r="B22">
        <v>10</v>
      </c>
      <c s="167" r="C22">
        <f>($B$4*B22)*0.01</f>
        <v>0.5</v>
      </c>
      <c t="s" s="14" r="D22">
        <v>95</v>
      </c>
      <c s="14" r="E22">
        <v>0</v>
      </c>
      <c s="100" r="F22">
        <f>($B$15*C22)/100.0</f>
        <v>50</v>
      </c>
      <c s="56" r="G22">
        <f>0.19*F22</f>
        <v>9.5</v>
      </c>
      <c s="140" r="H22"/>
      <c t="s" s="50" r="I22">
        <v>48</v>
      </c>
      <c s="167" r="J22">
        <v>10</v>
      </c>
      <c s="167" r="K22">
        <f>($B$4*J22)*0.01</f>
        <v>0.5</v>
      </c>
      <c t="s" s="14" r="L22">
        <v>95</v>
      </c>
      <c s="14" r="M22">
        <v>0</v>
      </c>
      <c s="100" r="N22">
        <f>($B$15*K22)/100.0</f>
        <v>50</v>
      </c>
      <c s="56" r="O22">
        <f>0.19*N22</f>
        <v>9.5</v>
      </c>
      <c s="87" r="P22"/>
    </row>
    <row r="23">
      <c t="s" s="50" r="A23">
        <v>49</v>
      </c>
      <c s="167" r="B23">
        <v>15</v>
      </c>
      <c s="167" r="C23">
        <f>($B$4*B23)*0.01</f>
        <v>0.75</v>
      </c>
      <c t="s" s="14" r="D23">
        <v>95</v>
      </c>
      <c s="14" r="E23">
        <v>0</v>
      </c>
      <c s="100" r="F23">
        <f>($B$15*C23)/100.0</f>
        <v>75</v>
      </c>
      <c s="56" r="G23">
        <f>0.19*F23</f>
        <v>14.25</v>
      </c>
      <c s="140" r="H23"/>
      <c t="s" s="50" r="I23">
        <v>49</v>
      </c>
      <c s="167" r="J23">
        <v>15</v>
      </c>
      <c s="167" r="K23">
        <f>($B$4*J23)*0.01</f>
        <v>0.75</v>
      </c>
      <c t="s" s="14" r="L23">
        <v>95</v>
      </c>
      <c s="14" r="M23">
        <v>0</v>
      </c>
      <c s="100" r="N23">
        <f>($B$15*K23)/100.0</f>
        <v>75</v>
      </c>
      <c s="56" r="O23">
        <f>0.19*N23</f>
        <v>14.25</v>
      </c>
      <c s="87" r="P23"/>
    </row>
    <row r="24">
      <c t="s" s="50" r="A24">
        <v>12</v>
      </c>
      <c s="167" r="B24">
        <v>2</v>
      </c>
      <c s="167" r="C24">
        <f>($B$4*B24)*0.01</f>
        <v>0.1</v>
      </c>
      <c t="s" s="14" r="D24">
        <v>95</v>
      </c>
      <c s="14" r="E24">
        <v>2</v>
      </c>
      <c s="100" r="F24">
        <f>($B$15*C24)/100.0</f>
        <v>10</v>
      </c>
      <c s="56" r="G24">
        <f>0.19*F24</f>
        <v>1.9</v>
      </c>
      <c s="140" r="H24"/>
      <c t="s" s="50" r="I24">
        <v>12</v>
      </c>
      <c s="167" r="J24">
        <v>2</v>
      </c>
      <c s="167" r="K24">
        <f>($B$4*J24)*0.01</f>
        <v>0.1</v>
      </c>
      <c t="s" s="14" r="L24">
        <v>95</v>
      </c>
      <c s="14" r="M24">
        <v>0</v>
      </c>
      <c s="100" r="N24">
        <f>($B$15*K24)/100.0</f>
        <v>10</v>
      </c>
      <c s="56" r="O24">
        <f>0.19*N24</f>
        <v>1.9</v>
      </c>
      <c s="87" r="P24"/>
    </row>
    <row r="25">
      <c t="s" s="50" r="A25">
        <v>7</v>
      </c>
      <c s="167" r="B25">
        <v>2</v>
      </c>
      <c s="167" r="C25">
        <f>($B$4*B25)*0.01</f>
        <v>0.1</v>
      </c>
      <c s="167" r="D25">
        <v>-1</v>
      </c>
      <c s="167" r="E25">
        <v>-1</v>
      </c>
      <c s="100" r="F25">
        <f>($B$15*C25)/100.0</f>
        <v>10</v>
      </c>
      <c s="56" r="G25">
        <f>0.19*F25</f>
        <v>1.9</v>
      </c>
      <c s="140" r="H25"/>
      <c t="s" s="50" r="I25">
        <v>7</v>
      </c>
      <c s="167" r="J25">
        <v>2</v>
      </c>
      <c s="167" r="K25">
        <f>($B$4*J25)*0.01</f>
        <v>0.1</v>
      </c>
      <c t="s" s="14" r="L25">
        <v>95</v>
      </c>
      <c s="167" r="M25">
        <v>-1</v>
      </c>
      <c s="100" r="N25">
        <f>($B$15*K25)/100.0</f>
        <v>10</v>
      </c>
      <c s="56" r="O25">
        <f>0.19*N25</f>
        <v>1.9</v>
      </c>
      <c s="87" r="P25"/>
    </row>
    <row r="26">
      <c t="s" s="50" r="A26">
        <v>6</v>
      </c>
      <c s="167" r="B26">
        <v>2</v>
      </c>
      <c s="167" r="C26">
        <f>($B$4*B26)*0.01</f>
        <v>0.1</v>
      </c>
      <c s="167" r="D26">
        <v>-1</v>
      </c>
      <c s="167" r="E26">
        <v>-1</v>
      </c>
      <c s="100" r="F26">
        <f>($B$15*C26)/100.0</f>
        <v>10</v>
      </c>
      <c s="56" r="G26">
        <f>0.19*F26</f>
        <v>1.9</v>
      </c>
      <c s="140" r="H26"/>
      <c t="s" s="50" r="I26">
        <v>6</v>
      </c>
      <c s="167" r="J26">
        <v>2</v>
      </c>
      <c s="167" r="K26">
        <f>($B$4*J26)*0.01</f>
        <v>0.1</v>
      </c>
      <c t="s" s="14" r="L26">
        <v>95</v>
      </c>
      <c s="167" r="M26">
        <v>-1</v>
      </c>
      <c s="100" r="N26">
        <f>($B$15*K26)/100.0</f>
        <v>10</v>
      </c>
      <c s="56" r="O26">
        <f>0.19*N26</f>
        <v>1.9</v>
      </c>
      <c s="87" r="P26"/>
    </row>
    <row r="27">
      <c t="s" s="50" r="A27">
        <v>3</v>
      </c>
      <c s="167" r="B27">
        <v>2</v>
      </c>
      <c s="167" r="C27">
        <f>($B$4*B27)*0.01</f>
        <v>0.1</v>
      </c>
      <c s="167" r="D27">
        <v>-1</v>
      </c>
      <c s="167" r="E27">
        <v>-1</v>
      </c>
      <c s="100" r="F27">
        <f>($B$15*C27)/100.0</f>
        <v>10</v>
      </c>
      <c s="56" r="G27">
        <f>0.19*F27</f>
        <v>1.9</v>
      </c>
      <c s="140" r="H27"/>
      <c t="s" s="50" r="I27">
        <v>3</v>
      </c>
      <c s="167" r="J27">
        <v>2</v>
      </c>
      <c s="167" r="K27">
        <f>($B$4*J27)*0.01</f>
        <v>0.1</v>
      </c>
      <c t="s" s="14" r="L27">
        <v>95</v>
      </c>
      <c s="167" r="M27">
        <v>-1</v>
      </c>
      <c s="100" r="N27">
        <f>($B$15*K27)/100.0</f>
        <v>10</v>
      </c>
      <c s="56" r="O27">
        <f>0.19*N27</f>
        <v>1.9</v>
      </c>
      <c s="87" r="P27"/>
    </row>
    <row r="28">
      <c t="s" s="50" r="A28">
        <v>4</v>
      </c>
      <c s="167" r="B28">
        <v>2</v>
      </c>
      <c s="167" r="C28">
        <f>($B$4*B28)*0.01</f>
        <v>0.1</v>
      </c>
      <c s="167" r="D28">
        <v>-1</v>
      </c>
      <c s="167" r="E28">
        <v>-1</v>
      </c>
      <c s="100" r="F28">
        <f>($B$15*C28)/100.0</f>
        <v>10</v>
      </c>
      <c s="56" r="G28">
        <f>0.19*F28</f>
        <v>1.9</v>
      </c>
      <c s="140" r="H28"/>
      <c t="s" s="50" r="I28">
        <v>4</v>
      </c>
      <c s="167" r="J28">
        <v>2</v>
      </c>
      <c s="167" r="K28">
        <f>($B$4*J28)*0.01</f>
        <v>0.1</v>
      </c>
      <c t="s" s="14" r="L28">
        <v>95</v>
      </c>
      <c s="167" r="M28">
        <v>-1</v>
      </c>
      <c s="100" r="N28">
        <f>($B$15*K28)/100.0</f>
        <v>10</v>
      </c>
      <c s="56" r="O28">
        <f>0.19*N28</f>
        <v>1.9</v>
      </c>
      <c s="87" r="P28"/>
    </row>
    <row r="29">
      <c t="s" s="50" r="A29">
        <v>10</v>
      </c>
      <c s="167" r="B29">
        <v>3</v>
      </c>
      <c s="167" r="C29">
        <f>($B$4*B29)*0.01</f>
        <v>0.15</v>
      </c>
      <c s="167" r="D29">
        <v>-1</v>
      </c>
      <c s="167" r="E29">
        <v>-1</v>
      </c>
      <c s="100" r="F29">
        <f>($B$15*C29)/100.0</f>
        <v>15</v>
      </c>
      <c s="56" r="G29">
        <f>0.19*F29</f>
        <v>2.85</v>
      </c>
      <c s="140" r="H29"/>
      <c t="s" s="50" r="I29">
        <v>10</v>
      </c>
      <c s="167" r="J29">
        <v>3</v>
      </c>
      <c s="167" r="K29">
        <f>($B$4*J29)*0.01</f>
        <v>0.15</v>
      </c>
      <c s="167" r="L29">
        <v>-1</v>
      </c>
      <c s="167" r="M29">
        <v>-1</v>
      </c>
      <c s="100" r="N29">
        <f>($B$15*K29)/100.0</f>
        <v>15</v>
      </c>
      <c s="56" r="O29">
        <f>0.19*N29</f>
        <v>2.85</v>
      </c>
      <c s="87" r="P29"/>
    </row>
    <row r="30">
      <c t="s" s="50" r="A30">
        <v>11</v>
      </c>
      <c s="167" r="B30">
        <v>5</v>
      </c>
      <c s="167" r="C30">
        <f>($B$4*B30)*0.01</f>
        <v>0.25</v>
      </c>
      <c s="167" r="D30">
        <v>-1</v>
      </c>
      <c s="167" r="E30">
        <v>-1</v>
      </c>
      <c s="100" r="F30">
        <f>($B$15*C30)/100.0</f>
        <v>25</v>
      </c>
      <c s="56" r="G30">
        <f>0.19*F30</f>
        <v>4.75</v>
      </c>
      <c s="140" r="H30"/>
      <c t="s" s="50" r="I30">
        <v>11</v>
      </c>
      <c s="167" r="J30">
        <v>5</v>
      </c>
      <c s="167" r="K30">
        <f>($B$4*J30)*0.01</f>
        <v>0.25</v>
      </c>
      <c s="167" r="L30">
        <v>-1</v>
      </c>
      <c s="167" r="M30">
        <v>-1</v>
      </c>
      <c s="100" r="N30">
        <f>($B$15*K30)/100.0</f>
        <v>25</v>
      </c>
      <c s="56" r="O30">
        <f>0.19*N30</f>
        <v>4.75</v>
      </c>
      <c s="87" r="P30"/>
    </row>
    <row r="31">
      <c t="s" s="50" r="A31">
        <v>5</v>
      </c>
      <c s="167" r="B31">
        <v>4</v>
      </c>
      <c s="167" r="C31">
        <f>($B$4*B31)*0.01</f>
        <v>0.2</v>
      </c>
      <c s="167" r="D31">
        <v>-1</v>
      </c>
      <c s="167" r="E31">
        <v>-1</v>
      </c>
      <c s="100" r="F31">
        <f>($B$15*C31)/100.0</f>
        <v>20</v>
      </c>
      <c s="56" r="G31">
        <f>0.19*F31</f>
        <v>3.8</v>
      </c>
      <c s="140" r="H31"/>
      <c t="s" s="50" r="I31">
        <v>5</v>
      </c>
      <c s="167" r="J31">
        <v>4</v>
      </c>
      <c s="167" r="K31">
        <f>($B$4*J31)*0.01</f>
        <v>0.2</v>
      </c>
      <c t="s" s="14" r="L31">
        <v>95</v>
      </c>
      <c s="167" r="M31">
        <v>-1</v>
      </c>
      <c s="100" r="N31">
        <f>($B$15*K31)/100.0</f>
        <v>20</v>
      </c>
      <c s="56" r="O31">
        <f>0.19*N31</f>
        <v>3.8</v>
      </c>
      <c s="87" r="P31"/>
    </row>
    <row r="32">
      <c t="s" s="50" r="A32">
        <v>9</v>
      </c>
      <c s="167" r="B32">
        <v>4</v>
      </c>
      <c s="167" r="C32">
        <f>($B$4*B32)*0.01</f>
        <v>0.2</v>
      </c>
      <c s="167" r="D32">
        <v>-1</v>
      </c>
      <c s="167" r="E32">
        <v>-1</v>
      </c>
      <c s="100" r="F32">
        <f>($B$15*C32)/100.0</f>
        <v>20</v>
      </c>
      <c s="56" r="G32">
        <f>0.19*F32</f>
        <v>3.8</v>
      </c>
      <c s="140" r="H32"/>
      <c t="s" s="50" r="I32">
        <v>9</v>
      </c>
      <c s="167" r="J32">
        <v>4</v>
      </c>
      <c s="167" r="K32">
        <f>($B$4*J32)*0.01</f>
        <v>0.2</v>
      </c>
      <c s="167" r="L32">
        <v>-1</v>
      </c>
      <c s="167" r="M32">
        <v>-1</v>
      </c>
      <c s="100" r="N32">
        <f>($B$15*K32)/100.0</f>
        <v>20</v>
      </c>
      <c s="56" r="O32">
        <f>0.19*N32</f>
        <v>3.8</v>
      </c>
      <c s="87" r="P32"/>
    </row>
    <row r="33">
      <c t="s" s="50" r="A33">
        <v>8</v>
      </c>
      <c s="167" r="B33">
        <v>4</v>
      </c>
      <c s="167" r="C33">
        <f>($B$4*B33)*0.01</f>
        <v>0.2</v>
      </c>
      <c s="167" r="D33">
        <v>-1</v>
      </c>
      <c s="167" r="E33">
        <v>-1</v>
      </c>
      <c s="100" r="F33">
        <f>($B$15*C33)/100.0</f>
        <v>20</v>
      </c>
      <c s="56" r="G33">
        <f>0.19*F33</f>
        <v>3.8</v>
      </c>
      <c s="140" r="H33"/>
      <c t="s" s="50" r="I33">
        <v>8</v>
      </c>
      <c s="167" r="J33">
        <v>4</v>
      </c>
      <c s="167" r="K33">
        <f>($B$4*J33)*0.01</f>
        <v>0.2</v>
      </c>
      <c s="167" r="L33">
        <v>-1</v>
      </c>
      <c s="167" r="M33">
        <v>-1</v>
      </c>
      <c s="100" r="N33">
        <f>($B$15*K33)/100.0</f>
        <v>20</v>
      </c>
      <c s="56" r="O33">
        <f>0.19*N33</f>
        <v>3.8</v>
      </c>
      <c s="87" r="P33"/>
    </row>
    <row r="34">
      <c s="7" r="A34"/>
      <c s="106" r="B34">
        <f>SUM(B21:B33)</f>
        <v>100</v>
      </c>
      <c s="36" r="C34">
        <f>SUM(C21:C33)</f>
        <v>5</v>
      </c>
      <c s="135" r="D34"/>
      <c s="106" r="E34"/>
      <c s="18" r="F34">
        <f>SUM(F21:F33)</f>
        <v>500</v>
      </c>
      <c s="112" r="G34"/>
      <c s="140" r="H34"/>
      <c s="7" r="I34"/>
      <c s="106" r="J34">
        <f>SUM(J21:J33)</f>
        <v>100</v>
      </c>
      <c s="36" r="K34">
        <f>SUM(K21:K33)</f>
        <v>5</v>
      </c>
      <c s="135" r="L34"/>
      <c s="106" r="M34"/>
      <c s="18" r="N34">
        <f>SUM(N21:N33)</f>
        <v>500</v>
      </c>
      <c s="112" r="O34"/>
      <c s="87" r="P34"/>
    </row>
    <row r="35">
      <c s="4" r="A35"/>
      <c s="116" r="B35"/>
      <c s="116" r="C35"/>
      <c s="116" r="D35"/>
      <c s="116" r="E35"/>
      <c s="119" r="F35"/>
      <c s="159" r="G35"/>
      <c s="140" r="H35"/>
      <c s="4" r="I35"/>
      <c s="116" r="J35"/>
      <c s="116" r="K35"/>
      <c s="116" r="L35"/>
      <c s="116" r="M35"/>
      <c s="119" r="N35"/>
      <c s="159" r="O35"/>
      <c s="87" r="P35"/>
    </row>
    <row customHeight="1" s="81" customFormat="1" r="36" ht="51.0">
      <c t="s" s="114" r="A36">
        <v>96</v>
      </c>
      <c t="s" s="152" r="B36">
        <v>90</v>
      </c>
      <c t="s" s="1" r="C36">
        <v>91</v>
      </c>
      <c t="s" s="1" r="D36">
        <v>92</v>
      </c>
      <c t="s" s="152" r="E36">
        <v>93</v>
      </c>
      <c t="s" s="22" r="F36">
        <v>84</v>
      </c>
      <c t="s" s="2" r="G36">
        <v>94</v>
      </c>
      <c s="140" r="H36"/>
      <c t="s" s="114" r="I36">
        <v>96</v>
      </c>
      <c t="s" s="152" r="J36">
        <v>90</v>
      </c>
      <c t="s" s="1" r="K36">
        <v>91</v>
      </c>
      <c t="s" s="1" r="L36">
        <v>92</v>
      </c>
      <c t="s" s="152" r="M36">
        <v>93</v>
      </c>
      <c t="s" s="22" r="N36">
        <v>84</v>
      </c>
      <c t="s" s="2" r="O36">
        <v>94</v>
      </c>
      <c s="87" r="P36"/>
    </row>
    <row r="37">
      <c t="s" s="50" r="A37">
        <v>18</v>
      </c>
      <c s="167" r="B37">
        <v>25</v>
      </c>
      <c s="167" r="C37">
        <f>($B$5*B37)*0.01</f>
        <v>3.75</v>
      </c>
      <c s="167" r="D37">
        <v>-1</v>
      </c>
      <c s="167" r="E37">
        <v>-1</v>
      </c>
      <c s="100" r="F37">
        <f>($B$15*C37)/100.0</f>
        <v>375</v>
      </c>
      <c s="56" r="G37">
        <f>0.19*F37</f>
        <v>71.25</v>
      </c>
      <c s="140" r="H37"/>
      <c t="s" s="50" r="I37">
        <v>18</v>
      </c>
      <c s="167" r="J37">
        <v>25</v>
      </c>
      <c s="167" r="K37">
        <f>($B$5*J37)*0.01</f>
        <v>3.75</v>
      </c>
      <c t="s" s="14" r="L37">
        <v>95</v>
      </c>
      <c s="167" r="M37">
        <v>-1</v>
      </c>
      <c s="100" r="N37">
        <f>($B$15*K37)/100.0</f>
        <v>375</v>
      </c>
      <c s="56" r="O37">
        <f>0.19*N37</f>
        <v>71.25</v>
      </c>
      <c s="87" r="P37"/>
    </row>
    <row r="38">
      <c t="s" s="50" r="A38">
        <v>26</v>
      </c>
      <c s="167" r="B38">
        <v>20</v>
      </c>
      <c s="167" r="C38">
        <f>($B$5*B38)*0.01</f>
        <v>3</v>
      </c>
      <c s="167" r="D38">
        <v>-1</v>
      </c>
      <c s="167" r="E38">
        <v>-1</v>
      </c>
      <c s="100" r="F38">
        <f>($B$15*C38)/100.0</f>
        <v>300</v>
      </c>
      <c s="56" r="G38">
        <f>0.19*F38</f>
        <v>57</v>
      </c>
      <c s="140" r="H38"/>
      <c t="s" s="50" r="I38">
        <v>26</v>
      </c>
      <c s="167" r="J38">
        <v>20</v>
      </c>
      <c s="167" r="K38">
        <f>($B$5*J38)*0.01</f>
        <v>3</v>
      </c>
      <c t="s" s="14" r="L38">
        <v>95</v>
      </c>
      <c s="167" r="M38">
        <v>-1</v>
      </c>
      <c s="100" r="N38">
        <f>($B$15*K38)/100.0</f>
        <v>300</v>
      </c>
      <c s="56" r="O38">
        <f>0.19*N38</f>
        <v>57</v>
      </c>
      <c s="87" r="P38"/>
    </row>
    <row r="39">
      <c t="s" s="50" r="A39">
        <v>23</v>
      </c>
      <c s="167" r="B39">
        <v>5</v>
      </c>
      <c s="167" r="C39">
        <f>($B$5*B39)*0.01</f>
        <v>0.75</v>
      </c>
      <c s="167" r="D39">
        <v>-1</v>
      </c>
      <c s="167" r="E39">
        <v>-1</v>
      </c>
      <c s="100" r="F39">
        <f>($B$15*C39)/100.0</f>
        <v>75</v>
      </c>
      <c s="56" r="G39">
        <f>0.19*F39</f>
        <v>14.25</v>
      </c>
      <c s="140" r="H39"/>
      <c t="s" s="50" r="I39">
        <v>23</v>
      </c>
      <c s="167" r="J39">
        <v>5</v>
      </c>
      <c s="167" r="K39">
        <f>($B$5*J39)*0.01</f>
        <v>0.75</v>
      </c>
      <c t="s" s="14" r="L39">
        <v>95</v>
      </c>
      <c s="167" r="M39">
        <v>-1</v>
      </c>
      <c s="100" r="N39">
        <f>($B$15*K39)/100.0</f>
        <v>75</v>
      </c>
      <c s="56" r="O39">
        <f>0.19*N39</f>
        <v>14.25</v>
      </c>
      <c s="87" r="P39"/>
    </row>
    <row r="40">
      <c t="s" s="50" r="A40">
        <v>13</v>
      </c>
      <c s="167" r="B40">
        <v>25</v>
      </c>
      <c s="167" r="C40">
        <f>($B$5*B40)*0.01</f>
        <v>3.75</v>
      </c>
      <c s="167" r="D40">
        <v>-1</v>
      </c>
      <c s="167" r="E40">
        <v>-1</v>
      </c>
      <c s="100" r="F40">
        <f>($B$15*C40)/100.0</f>
        <v>375</v>
      </c>
      <c s="56" r="G40">
        <f>0.19*F40</f>
        <v>71.25</v>
      </c>
      <c s="140" r="H40"/>
      <c t="s" s="50" r="I40">
        <v>13</v>
      </c>
      <c s="167" r="J40">
        <v>25</v>
      </c>
      <c s="167" r="K40">
        <f>($B$5*J40)*0.01</f>
        <v>3.75</v>
      </c>
      <c t="s" s="14" r="L40">
        <v>95</v>
      </c>
      <c s="167" r="M40">
        <v>-1</v>
      </c>
      <c s="100" r="N40">
        <f>($B$15*K40)/100.0</f>
        <v>375</v>
      </c>
      <c s="56" r="O40">
        <f>0.19*N40</f>
        <v>71.25</v>
      </c>
      <c s="87" r="P40"/>
    </row>
    <row r="41">
      <c t="s" s="50" r="A41">
        <v>19</v>
      </c>
      <c s="167" r="B41">
        <v>20</v>
      </c>
      <c s="167" r="C41">
        <f>($B$5*B41)*0.01</f>
        <v>3</v>
      </c>
      <c s="167" r="D41">
        <v>-1</v>
      </c>
      <c s="167" r="E41">
        <v>-1</v>
      </c>
      <c s="100" r="F41">
        <f>($B$15*C41)/100.0</f>
        <v>300</v>
      </c>
      <c s="56" r="G41">
        <f>0.19*F41</f>
        <v>57</v>
      </c>
      <c s="140" r="H41"/>
      <c t="s" s="50" r="I41">
        <v>19</v>
      </c>
      <c s="167" r="J41">
        <v>20</v>
      </c>
      <c s="167" r="K41">
        <f>($B$5*J41)*0.01</f>
        <v>3</v>
      </c>
      <c t="s" s="14" r="L41">
        <v>95</v>
      </c>
      <c s="167" r="M41">
        <v>-1</v>
      </c>
      <c s="100" r="N41">
        <f>($B$15*K41)/100.0</f>
        <v>300</v>
      </c>
      <c s="56" r="O41">
        <f>0.19*N41</f>
        <v>57</v>
      </c>
      <c s="87" r="P41"/>
    </row>
    <row r="42">
      <c t="s" s="50" r="A42">
        <v>16</v>
      </c>
      <c s="167" r="B42">
        <v>5</v>
      </c>
      <c s="167" r="C42">
        <f>($B$5*B42)*0.01</f>
        <v>0.75</v>
      </c>
      <c s="167" r="D42">
        <v>-1</v>
      </c>
      <c s="167" r="E42">
        <v>-1</v>
      </c>
      <c s="100" r="F42">
        <f>($B$15*C42)/100.0</f>
        <v>75</v>
      </c>
      <c s="56" r="G42">
        <f>0.19*F42</f>
        <v>14.25</v>
      </c>
      <c s="140" r="H42"/>
      <c t="s" s="50" r="I42">
        <v>16</v>
      </c>
      <c s="167" r="J42">
        <v>5</v>
      </c>
      <c s="167" r="K42">
        <f>($B$5*J42)*0.01</f>
        <v>0.75</v>
      </c>
      <c t="s" s="14" r="L42">
        <v>95</v>
      </c>
      <c s="167" r="M42">
        <v>-1</v>
      </c>
      <c s="100" r="N42">
        <f>($B$15*K42)/100.0</f>
        <v>75</v>
      </c>
      <c s="56" r="O42">
        <f>0.19*N42</f>
        <v>14.25</v>
      </c>
      <c s="87" r="P42"/>
    </row>
    <row r="43">
      <c s="7" r="A43"/>
      <c s="106" r="B43">
        <f>SUM(B36:B42)</f>
        <v>100</v>
      </c>
      <c s="133" r="C43">
        <f>SUM(C37:C42)</f>
        <v>15</v>
      </c>
      <c s="135" r="D43"/>
      <c s="6" r="E43"/>
      <c s="18" r="F43">
        <f>SUM(F37:F42)</f>
        <v>1500</v>
      </c>
      <c s="112" r="G43"/>
      <c s="140" r="H43"/>
      <c s="7" r="I43"/>
      <c s="106" r="J43">
        <f>SUM(J36:J42)</f>
        <v>100</v>
      </c>
      <c s="133" r="K43">
        <f>SUM(K37:K42)</f>
        <v>15</v>
      </c>
      <c s="135" r="L43"/>
      <c s="6" r="M43"/>
      <c s="18" r="N43">
        <f>SUM(N37:N42)</f>
        <v>1500</v>
      </c>
      <c s="112" r="O43"/>
      <c s="87" r="P43"/>
    </row>
    <row r="44">
      <c s="4" r="A44"/>
      <c s="116" r="B44"/>
      <c s="85" r="C44"/>
      <c s="85" r="D44"/>
      <c s="116" r="E44"/>
      <c s="119" r="F44"/>
      <c s="159" r="G44"/>
      <c s="140" r="H44"/>
      <c s="4" r="I44"/>
      <c s="116" r="J44"/>
      <c s="85" r="K44"/>
      <c s="85" r="L44"/>
      <c s="116" r="M44"/>
      <c s="119" r="N44"/>
      <c s="159" r="O44"/>
      <c s="87" r="P44"/>
    </row>
    <row customHeight="1" s="81" customFormat="1" r="45" ht="51.0">
      <c t="s" s="114" r="A45">
        <v>97</v>
      </c>
      <c t="s" s="152" r="B45">
        <v>90</v>
      </c>
      <c t="s" s="1" r="C45">
        <v>91</v>
      </c>
      <c t="s" s="1" r="D45">
        <v>92</v>
      </c>
      <c t="s" s="152" r="E45">
        <v>93</v>
      </c>
      <c t="s" s="22" r="F45">
        <v>84</v>
      </c>
      <c t="s" s="2" r="G45">
        <v>94</v>
      </c>
      <c s="140" r="H45"/>
      <c t="s" s="114" r="I45">
        <v>97</v>
      </c>
      <c t="s" s="152" r="J45">
        <v>90</v>
      </c>
      <c t="s" s="1" r="K45">
        <v>91</v>
      </c>
      <c t="s" s="1" r="L45">
        <v>92</v>
      </c>
      <c t="s" s="152" r="M45">
        <v>93</v>
      </c>
      <c t="s" s="22" r="N45">
        <v>84</v>
      </c>
      <c t="s" s="2" r="O45">
        <v>94</v>
      </c>
      <c s="87" r="P45"/>
    </row>
    <row r="46">
      <c t="s" s="50" r="A46">
        <v>47</v>
      </c>
      <c s="128" r="B46">
        <v>18</v>
      </c>
      <c s="167" r="C46">
        <f>($B$6*B46)*0.01</f>
        <v>7.2</v>
      </c>
      <c t="s" s="14" r="D46">
        <v>95</v>
      </c>
      <c s="14" r="E46">
        <v>0</v>
      </c>
      <c s="100" r="F46">
        <f>($B$15*C46)/100.0</f>
        <v>720</v>
      </c>
      <c s="56" r="G46">
        <f>0.19*F46</f>
        <v>136.8</v>
      </c>
      <c s="140" r="H46"/>
      <c t="s" s="50" r="I46">
        <v>47</v>
      </c>
      <c s="128" r="J46">
        <v>20</v>
      </c>
      <c s="167" r="K46">
        <f>($B$6*J46)*0.01</f>
        <v>8</v>
      </c>
      <c t="s" s="14" r="L46">
        <v>95</v>
      </c>
      <c s="14" r="M46">
        <v>0</v>
      </c>
      <c s="100" r="N46">
        <f>($B$15*K46)/100.0</f>
        <v>800</v>
      </c>
      <c s="56" r="O46">
        <f>0.19*N46</f>
        <v>152</v>
      </c>
      <c s="87" r="P46"/>
    </row>
    <row r="47">
      <c t="s" s="50" r="A47">
        <v>22</v>
      </c>
      <c s="128" r="B47">
        <v>24</v>
      </c>
      <c s="167" r="C47">
        <f>($B$6*B47)*0.01</f>
        <v>9.6</v>
      </c>
      <c s="167" r="D47">
        <v>-1</v>
      </c>
      <c s="131" r="E47">
        <v>-1</v>
      </c>
      <c s="100" r="F47">
        <f>($B$15*C47)/100.0</f>
        <v>960</v>
      </c>
      <c s="56" r="G47">
        <f>0.19*F47</f>
        <v>182.4</v>
      </c>
      <c s="140" r="H47"/>
      <c t="s" s="50" r="I47">
        <v>22</v>
      </c>
      <c s="128" r="J47">
        <v>25</v>
      </c>
      <c s="167" r="K47">
        <f>($B$6*J47)*0.01</f>
        <v>10</v>
      </c>
      <c s="167" r="L47">
        <v>-1</v>
      </c>
      <c s="131" r="M47">
        <v>-1</v>
      </c>
      <c s="100" r="N47">
        <f>($B$15*K47)/100.0</f>
        <v>1000</v>
      </c>
      <c s="56" r="O47">
        <f>0.19*N47</f>
        <v>190</v>
      </c>
      <c s="87" r="P47"/>
    </row>
    <row r="48">
      <c t="s" s="50" r="A48">
        <v>20</v>
      </c>
      <c s="128" r="B48">
        <v>24</v>
      </c>
      <c s="167" r="C48">
        <f>($B$6*B48)*0.01</f>
        <v>9.6</v>
      </c>
      <c s="167" r="D48">
        <v>-1</v>
      </c>
      <c s="131" r="E48">
        <v>-1</v>
      </c>
      <c s="100" r="F48">
        <f>($B$15*C48)/100.0</f>
        <v>960</v>
      </c>
      <c s="56" r="G48">
        <f>0.19*F48</f>
        <v>182.4</v>
      </c>
      <c s="140" r="H48"/>
      <c t="s" s="50" r="I48">
        <v>20</v>
      </c>
      <c s="128" r="J48">
        <v>25</v>
      </c>
      <c s="167" r="K48">
        <f>($B$6*J48)*0.01</f>
        <v>10</v>
      </c>
      <c s="167" r="L48">
        <v>-1</v>
      </c>
      <c s="131" r="M48">
        <v>-1</v>
      </c>
      <c s="100" r="N48">
        <f>($B$15*K48)/100.0</f>
        <v>1000</v>
      </c>
      <c s="56" r="O48">
        <f>0.19*N48</f>
        <v>190</v>
      </c>
      <c s="87" r="P48"/>
    </row>
    <row r="49">
      <c t="s" s="50" r="A49">
        <v>28</v>
      </c>
      <c s="167" r="B49">
        <v>1</v>
      </c>
      <c s="167" r="C49">
        <f>($B$6*B49)*0.01</f>
        <v>0.4</v>
      </c>
      <c t="s" s="14" r="D49">
        <v>95</v>
      </c>
      <c s="14" r="E49">
        <v>0</v>
      </c>
      <c s="100" r="F49">
        <f>($B$15*C49)/100.0</f>
        <v>40</v>
      </c>
      <c s="56" r="G49">
        <f>0.19*F49</f>
        <v>7.6</v>
      </c>
      <c s="140" r="H49"/>
      <c t="s" s="50" r="I49">
        <v>28</v>
      </c>
      <c s="167" r="J49">
        <v>1</v>
      </c>
      <c s="167" r="K49">
        <f>($B$6*J49)*0.01</f>
        <v>0.4</v>
      </c>
      <c t="s" s="14" r="L49">
        <v>95</v>
      </c>
      <c s="14" r="M49">
        <v>0</v>
      </c>
      <c s="100" r="N49">
        <f>($B$15*K49)/100.0</f>
        <v>40</v>
      </c>
      <c s="56" r="O49">
        <f>0.19*N49</f>
        <v>7.6</v>
      </c>
      <c s="87" r="P49"/>
    </row>
    <row r="50">
      <c t="s" s="50" r="A50">
        <v>37</v>
      </c>
      <c s="167" r="B50">
        <v>3</v>
      </c>
      <c s="167" r="C50">
        <f>($B$6*B50)*0.01</f>
        <v>1.2</v>
      </c>
      <c t="s" s="14" r="D50">
        <v>95</v>
      </c>
      <c s="14" r="E50">
        <v>30</v>
      </c>
      <c s="100" r="F50">
        <f>($B$15*C50)/100.0</f>
        <v>120</v>
      </c>
      <c s="56" r="G50">
        <f>0.19*F50</f>
        <v>22.8</v>
      </c>
      <c s="140" r="H50"/>
      <c t="s" s="50" r="I50">
        <v>37</v>
      </c>
      <c s="167" r="J50">
        <v>3</v>
      </c>
      <c s="167" r="K50">
        <f>($B$6*J50)*0.01</f>
        <v>1.2</v>
      </c>
      <c t="s" s="14" r="L50">
        <v>95</v>
      </c>
      <c s="14" r="M50">
        <v>5</v>
      </c>
      <c s="100" r="N50">
        <f>($B$15*K50)/100.0</f>
        <v>120</v>
      </c>
      <c s="56" r="O50">
        <f>0.19*N50</f>
        <v>22.8</v>
      </c>
      <c s="87" r="P50"/>
    </row>
    <row r="51">
      <c t="s" s="50" r="A51">
        <v>25</v>
      </c>
      <c s="167" r="B51">
        <v>2</v>
      </c>
      <c s="167" r="C51">
        <f>($B$6*B51)*0.01</f>
        <v>0.8</v>
      </c>
      <c t="s" s="14" r="D51">
        <v>95</v>
      </c>
      <c s="14" r="E51">
        <v>100</v>
      </c>
      <c s="100" r="F51">
        <f>($B$15*C51)/100.0</f>
        <v>80</v>
      </c>
      <c s="56" r="G51">
        <f>0.19*F51</f>
        <v>15.2</v>
      </c>
      <c s="140" r="H51"/>
      <c t="s" s="50" r="I51">
        <v>25</v>
      </c>
      <c s="167" r="J51">
        <v>2</v>
      </c>
      <c s="167" r="K51">
        <f>($B$6*J51)*0.01</f>
        <v>0.8</v>
      </c>
      <c t="s" s="14" r="L51">
        <v>95</v>
      </c>
      <c s="14" r="M51">
        <v>5</v>
      </c>
      <c s="100" r="N51">
        <f>($B$15*K51)/100.0</f>
        <v>80</v>
      </c>
      <c s="56" r="O51">
        <f>0.19*N51</f>
        <v>15.2</v>
      </c>
      <c s="87" r="P51"/>
    </row>
    <row r="52">
      <c t="s" s="50" r="A52">
        <v>17</v>
      </c>
      <c s="167" r="B52">
        <v>18</v>
      </c>
      <c s="167" r="C52">
        <f>($B$6*B52)*0.01</f>
        <v>7.2</v>
      </c>
      <c t="s" s="14" r="D52">
        <v>95</v>
      </c>
      <c s="14" r="E52">
        <v>0</v>
      </c>
      <c s="100" r="F52">
        <f>($B$15*C52)/100.0</f>
        <v>720</v>
      </c>
      <c s="56" r="G52">
        <f>0.19*F52</f>
        <v>136.8</v>
      </c>
      <c s="140" r="H52"/>
      <c t="s" s="50" r="I52">
        <v>17</v>
      </c>
      <c s="167" r="J52">
        <v>14</v>
      </c>
      <c s="167" r="K52">
        <f>($B$6*J52)*0.01</f>
        <v>5.6</v>
      </c>
      <c t="s" s="14" r="L52">
        <v>95</v>
      </c>
      <c s="14" r="M52">
        <v>0</v>
      </c>
      <c s="100" r="N52">
        <f>($B$15*K52)/100.0</f>
        <v>560</v>
      </c>
      <c s="56" r="O52">
        <f>0.19*N52</f>
        <v>106.4</v>
      </c>
      <c s="87" r="P52"/>
    </row>
    <row r="53">
      <c t="s" s="50" r="A53">
        <v>15</v>
      </c>
      <c s="167" r="B53">
        <v>2</v>
      </c>
      <c s="167" r="C53">
        <f>($B$6*B53)*0.01</f>
        <v>0.8</v>
      </c>
      <c s="167" r="D53">
        <v>-1</v>
      </c>
      <c s="167" r="E53">
        <v>-1</v>
      </c>
      <c s="100" r="F53">
        <f>($B$15*C53)/100.0</f>
        <v>80</v>
      </c>
      <c s="56" r="G53">
        <f>0.19*F53</f>
        <v>15.2</v>
      </c>
      <c s="140" r="H53"/>
      <c t="s" s="50" r="I53">
        <v>15</v>
      </c>
      <c s="167" r="J53">
        <v>2</v>
      </c>
      <c s="167" r="K53">
        <f>($B$6*J53)*0.01</f>
        <v>0.8</v>
      </c>
      <c s="167" r="L53">
        <v>-1</v>
      </c>
      <c s="167" r="M53">
        <v>-1</v>
      </c>
      <c s="100" r="N53">
        <f>($B$15*K53)/100.0</f>
        <v>80</v>
      </c>
      <c s="56" r="O53">
        <f>0.19*N53</f>
        <v>15.2</v>
      </c>
      <c s="87" r="P53"/>
    </row>
    <row r="54">
      <c t="s" s="50" r="A54">
        <v>14</v>
      </c>
      <c s="167" r="B54">
        <v>2</v>
      </c>
      <c s="167" r="C54">
        <f>($B$6*B54)*0.01</f>
        <v>0.8</v>
      </c>
      <c s="167" r="D54">
        <v>-1</v>
      </c>
      <c s="167" r="E54">
        <v>-1</v>
      </c>
      <c s="100" r="F54">
        <f>($B$15*C54)/100.0</f>
        <v>80</v>
      </c>
      <c s="56" r="G54">
        <f>0.19*F54</f>
        <v>15.2</v>
      </c>
      <c s="140" r="H54"/>
      <c t="s" s="50" r="I54">
        <v>14</v>
      </c>
      <c s="167" r="J54">
        <v>2</v>
      </c>
      <c s="167" r="K54">
        <f>($B$6*J54)*0.01</f>
        <v>0.8</v>
      </c>
      <c s="167" r="L54">
        <v>-1</v>
      </c>
      <c s="167" r="M54">
        <v>-1</v>
      </c>
      <c s="100" r="N54">
        <f>($B$15*K54)/100.0</f>
        <v>80</v>
      </c>
      <c s="56" r="O54">
        <f>0.19*N54</f>
        <v>15.2</v>
      </c>
      <c s="87" r="P54"/>
    </row>
    <row r="55">
      <c t="s" s="50" r="A55">
        <v>21</v>
      </c>
      <c s="167" r="B55">
        <v>2</v>
      </c>
      <c s="167" r="C55">
        <f>($B$6*B55)*0.01</f>
        <v>0.8</v>
      </c>
      <c s="167" r="D55">
        <v>-1</v>
      </c>
      <c s="167" r="E55">
        <v>-1</v>
      </c>
      <c s="100" r="F55">
        <f>($B$15*C55)/100.0</f>
        <v>80</v>
      </c>
      <c s="56" r="G55">
        <f>0.19*F55</f>
        <v>15.2</v>
      </c>
      <c s="140" r="H55"/>
      <c t="s" s="50" r="I55">
        <v>21</v>
      </c>
      <c s="167" r="J55">
        <v>2</v>
      </c>
      <c s="167" r="K55">
        <f>($B$6*J55)*0.01</f>
        <v>0.8</v>
      </c>
      <c s="167" r="L55">
        <v>-1</v>
      </c>
      <c s="167" r="M55">
        <v>-1</v>
      </c>
      <c s="100" r="N55">
        <f>($B$15*K55)/100.0</f>
        <v>80</v>
      </c>
      <c s="56" r="O55">
        <f>0.19*N55</f>
        <v>15.2</v>
      </c>
      <c s="87" r="P55"/>
    </row>
    <row r="56">
      <c t="s" s="50" r="A56">
        <v>32</v>
      </c>
      <c s="167" r="B56">
        <v>2</v>
      </c>
      <c s="167" r="C56">
        <f>($B$6*B56)*0.01</f>
        <v>0.8</v>
      </c>
      <c s="167" r="D56">
        <v>-1</v>
      </c>
      <c s="167" r="E56">
        <v>-1</v>
      </c>
      <c s="100" r="F56">
        <f>($B$15*C56)/100.0</f>
        <v>80</v>
      </c>
      <c s="56" r="G56">
        <f>0.19*F56</f>
        <v>15.2</v>
      </c>
      <c s="140" r="H56"/>
      <c t="s" s="50" r="I56">
        <v>32</v>
      </c>
      <c s="167" r="J56">
        <v>2</v>
      </c>
      <c s="167" r="K56">
        <f>($B$6*J56)*0.01</f>
        <v>0.8</v>
      </c>
      <c s="167" r="L56">
        <v>-1</v>
      </c>
      <c s="167" r="M56">
        <v>-1</v>
      </c>
      <c s="100" r="N56">
        <f>($B$15*K56)/100.0</f>
        <v>80</v>
      </c>
      <c s="56" r="O56">
        <f>0.19*N56</f>
        <v>15.2</v>
      </c>
      <c s="87" r="P56"/>
    </row>
    <row r="57">
      <c t="s" s="50" r="A57">
        <v>34</v>
      </c>
      <c s="167" r="B57">
        <v>2</v>
      </c>
      <c s="167" r="C57">
        <f>($B$6*B57)*0.01</f>
        <v>0.8</v>
      </c>
      <c s="167" r="D57">
        <v>-1</v>
      </c>
      <c s="167" r="E57">
        <v>-1</v>
      </c>
      <c s="100" r="F57">
        <f>($B$15*C57)/100.0</f>
        <v>80</v>
      </c>
      <c s="56" r="G57">
        <f>0.19*F57</f>
        <v>15.2</v>
      </c>
      <c s="140" r="H57"/>
      <c t="s" s="50" r="I57">
        <v>34</v>
      </c>
      <c s="167" r="J57">
        <v>2</v>
      </c>
      <c s="167" r="K57">
        <f>($B$6*J57)*0.01</f>
        <v>0.8</v>
      </c>
      <c s="167" r="L57">
        <v>-1</v>
      </c>
      <c s="167" r="M57">
        <v>-1</v>
      </c>
      <c s="100" r="N57">
        <f>($B$15*K57)/100.0</f>
        <v>80</v>
      </c>
      <c s="56" r="O57">
        <f>0.19*N57</f>
        <v>15.2</v>
      </c>
      <c s="87" r="P57"/>
    </row>
    <row r="58">
      <c s="7" r="A58"/>
      <c s="106" r="B58">
        <f>SUM(B46:B57)</f>
        <v>100</v>
      </c>
      <c s="8" r="C58">
        <f>SUM(C46:C57)</f>
        <v>40</v>
      </c>
      <c s="135" r="D58"/>
      <c s="6" r="E58"/>
      <c s="18" r="F58">
        <f>SUM(F46:F57)</f>
        <v>4000</v>
      </c>
      <c s="112" r="G58"/>
      <c s="140" r="H58"/>
      <c s="7" r="I58"/>
      <c s="106" r="J58">
        <f>SUM(J46:J57)</f>
        <v>100</v>
      </c>
      <c s="8" r="K58">
        <f>SUM(K46:K57)</f>
        <v>40</v>
      </c>
      <c s="135" r="L58"/>
      <c s="6" r="M58"/>
      <c s="18" r="N58">
        <f>SUM(N46:N57)</f>
        <v>4000</v>
      </c>
      <c s="112" r="O58"/>
      <c s="87" r="P58"/>
    </row>
    <row r="59">
      <c s="4" r="A59"/>
      <c s="116" r="B59"/>
      <c s="116" r="C59"/>
      <c s="116" r="D59"/>
      <c s="116" r="E59"/>
      <c s="119" r="F59"/>
      <c s="159" r="G59"/>
      <c s="140" r="H59"/>
      <c s="4" r="I59"/>
      <c s="116" r="J59"/>
      <c s="116" r="K59"/>
      <c s="116" r="L59"/>
      <c s="116" r="M59"/>
      <c s="119" r="N59"/>
      <c s="159" r="O59"/>
      <c s="87" r="P59"/>
    </row>
    <row customHeight="1" s="81" customFormat="1" r="60" ht="51.0">
      <c t="s" s="114" r="A60">
        <v>98</v>
      </c>
      <c t="s" s="152" r="B60">
        <v>90</v>
      </c>
      <c t="s" s="1" r="C60">
        <v>91</v>
      </c>
      <c t="s" s="1" r="D60">
        <v>92</v>
      </c>
      <c t="s" s="152" r="E60">
        <v>93</v>
      </c>
      <c t="s" s="22" r="F60">
        <v>84</v>
      </c>
      <c t="s" s="2" r="G60">
        <v>94</v>
      </c>
      <c s="140" r="H60"/>
      <c t="s" s="114" r="I60">
        <v>98</v>
      </c>
      <c t="s" s="152" r="J60">
        <v>90</v>
      </c>
      <c t="s" s="1" r="K60">
        <v>91</v>
      </c>
      <c t="s" s="1" r="L60">
        <v>92</v>
      </c>
      <c t="s" s="152" r="M60">
        <v>93</v>
      </c>
      <c t="s" s="22" r="N60">
        <v>84</v>
      </c>
      <c t="s" s="2" r="O60">
        <v>94</v>
      </c>
      <c s="87" r="P60"/>
    </row>
    <row r="61">
      <c t="s" s="50" r="A61">
        <v>38</v>
      </c>
      <c s="167" r="B61">
        <v>15</v>
      </c>
      <c s="167" r="C61">
        <f>($B$7*B61)*0.01</f>
        <v>5.25</v>
      </c>
      <c t="s" s="14" r="D61">
        <v>95</v>
      </c>
      <c s="14" r="E61">
        <v>0</v>
      </c>
      <c s="100" r="F61">
        <f>($B$15*C61)/100.0</f>
        <v>525</v>
      </c>
      <c s="56" r="G61">
        <f>0.19*F61</f>
        <v>99.75</v>
      </c>
      <c s="140" r="H61"/>
      <c t="s" s="50" r="I61">
        <v>38</v>
      </c>
      <c s="167" r="J61">
        <v>10</v>
      </c>
      <c s="167" r="K61">
        <f>($B$7*J61)*0.01</f>
        <v>3.5</v>
      </c>
      <c t="s" s="14" r="L61">
        <v>95</v>
      </c>
      <c s="14" r="M61">
        <v>0</v>
      </c>
      <c s="100" r="N61">
        <f>($B$15*K61)/100.0</f>
        <v>350</v>
      </c>
      <c s="56" r="O61">
        <f>0.19*N61</f>
        <v>66.5</v>
      </c>
      <c s="87" r="P61"/>
    </row>
    <row r="62">
      <c t="s" s="50" r="A62">
        <v>40</v>
      </c>
      <c s="167" r="B62">
        <v>20</v>
      </c>
      <c s="167" r="C62">
        <f>($B$7*B62)*0.01</f>
        <v>7</v>
      </c>
      <c s="167" r="D62">
        <v>-1</v>
      </c>
      <c s="167" r="E62">
        <v>-1</v>
      </c>
      <c s="100" r="F62">
        <f>($B$15*C62)/100.0</f>
        <v>700</v>
      </c>
      <c s="56" r="G62">
        <f>0.19*F62</f>
        <v>133</v>
      </c>
      <c s="140" r="H62"/>
      <c t="s" s="50" r="I62">
        <v>40</v>
      </c>
      <c s="167" r="J62">
        <v>22.5</v>
      </c>
      <c s="167" r="K62">
        <f>($B$7*J62)*0.01</f>
        <v>7.875</v>
      </c>
      <c t="s" s="14" r="L62">
        <v>95</v>
      </c>
      <c s="167" r="M62">
        <v>-1</v>
      </c>
      <c s="100" r="N62">
        <f>($B$15*K62)/100.0</f>
        <v>787.5</v>
      </c>
      <c s="56" r="O62">
        <f>0.19*N62</f>
        <v>149.625</v>
      </c>
      <c s="87" r="P62"/>
    </row>
    <row r="63">
      <c t="s" s="50" r="A63">
        <v>44</v>
      </c>
      <c s="167" r="B63">
        <v>9</v>
      </c>
      <c s="167" r="C63">
        <f>($B$7*B63)*0.01</f>
        <v>3.15</v>
      </c>
      <c s="167" r="D63">
        <v>-1</v>
      </c>
      <c s="167" r="E63">
        <v>-1</v>
      </c>
      <c s="100" r="F63">
        <f>($B$15*C63)/100.0</f>
        <v>315</v>
      </c>
      <c s="56" r="G63">
        <f>0.19*F63</f>
        <v>59.85</v>
      </c>
      <c s="140" r="H63"/>
      <c t="s" s="50" r="I63">
        <v>44</v>
      </c>
      <c s="167" r="J63">
        <v>9</v>
      </c>
      <c s="167" r="K63">
        <f>($B$7*J63)*0.01</f>
        <v>3.15</v>
      </c>
      <c t="s" s="14" r="L63">
        <v>95</v>
      </c>
      <c s="167" r="M63">
        <v>-1</v>
      </c>
      <c s="100" r="N63">
        <f>($B$15*K63)/100.0</f>
        <v>315</v>
      </c>
      <c s="56" r="O63">
        <f>0.19*N63</f>
        <v>59.85</v>
      </c>
      <c s="87" r="P63"/>
    </row>
    <row r="64">
      <c t="s" s="50" r="A64">
        <v>50</v>
      </c>
      <c s="167" r="B64">
        <v>9</v>
      </c>
      <c s="167" r="C64">
        <f>($B$7*B64)*0.01</f>
        <v>3.15</v>
      </c>
      <c s="167" r="D64">
        <v>-1</v>
      </c>
      <c s="167" r="E64">
        <v>-1</v>
      </c>
      <c s="100" r="F64">
        <f>($B$15*C64)/100.0</f>
        <v>315</v>
      </c>
      <c s="56" r="G64">
        <f>0.19*F64</f>
        <v>59.85</v>
      </c>
      <c s="140" r="H64"/>
      <c t="s" s="50" r="I64">
        <v>50</v>
      </c>
      <c s="167" r="J64">
        <v>9</v>
      </c>
      <c s="167" r="K64">
        <f>($B$7*J64)*0.01</f>
        <v>3.15</v>
      </c>
      <c t="s" s="14" r="L64">
        <v>95</v>
      </c>
      <c s="167" r="M64">
        <v>-1</v>
      </c>
      <c s="100" r="N64">
        <f>($B$15*K64)/100.0</f>
        <v>315</v>
      </c>
      <c s="56" r="O64">
        <f>0.19*N64</f>
        <v>59.85</v>
      </c>
      <c s="87" r="P64"/>
    </row>
    <row r="65">
      <c t="s" s="50" r="A65">
        <v>52</v>
      </c>
      <c s="167" r="B65">
        <v>2</v>
      </c>
      <c s="167" r="C65">
        <f>($B$7*B65)*0.01</f>
        <v>0.7</v>
      </c>
      <c s="167" r="D65">
        <v>-1</v>
      </c>
      <c s="167" r="E65">
        <v>-1</v>
      </c>
      <c s="100" r="F65">
        <f>($B$15*C65)/100.0</f>
        <v>70</v>
      </c>
      <c s="56" r="G65">
        <f>0.19*F65</f>
        <v>13.3</v>
      </c>
      <c s="140" r="H65"/>
      <c t="s" s="50" r="I65">
        <v>52</v>
      </c>
      <c s="167" r="J65">
        <v>2</v>
      </c>
      <c s="167" r="K65">
        <f>($B$7*J65)*0.01</f>
        <v>0.7</v>
      </c>
      <c t="s" s="14" r="L65">
        <v>95</v>
      </c>
      <c s="167" r="M65">
        <v>-1</v>
      </c>
      <c s="100" r="N65">
        <f>($B$15*K65)/100.0</f>
        <v>70</v>
      </c>
      <c s="56" r="O65">
        <f>0.19*N65</f>
        <v>13.3</v>
      </c>
      <c s="87" r="P65"/>
    </row>
    <row r="66">
      <c t="s" s="50" r="A66">
        <v>42</v>
      </c>
      <c s="167" r="B66">
        <v>2.5</v>
      </c>
      <c s="167" r="C66">
        <f>($B$7*B66)*0.01</f>
        <v>0.875</v>
      </c>
      <c s="167" r="D66">
        <v>-1</v>
      </c>
      <c s="167" r="E66">
        <v>-1</v>
      </c>
      <c s="100" r="F66">
        <f>($B$15*C66)/100.0</f>
        <v>87.5</v>
      </c>
      <c s="56" r="G66">
        <f>0.19*F66</f>
        <v>16.625</v>
      </c>
      <c s="140" r="H66"/>
      <c t="s" s="50" r="I66">
        <v>42</v>
      </c>
      <c s="167" r="J66">
        <v>2.5</v>
      </c>
      <c s="167" r="K66">
        <f>($B$7*J66)*0.01</f>
        <v>0.875</v>
      </c>
      <c t="s" s="14" r="L66">
        <v>95</v>
      </c>
      <c s="167" r="M66">
        <v>-1</v>
      </c>
      <c s="100" r="N66">
        <f>($B$15*K66)/100.0</f>
        <v>87.5</v>
      </c>
      <c s="56" r="O66">
        <f>0.19*N66</f>
        <v>16.625</v>
      </c>
      <c s="87" r="P66"/>
    </row>
    <row r="67">
      <c t="s" s="50" r="A67">
        <v>39</v>
      </c>
      <c s="167" r="B67">
        <v>20</v>
      </c>
      <c s="167" r="C67">
        <f>($B$7*B67)*0.01</f>
        <v>7</v>
      </c>
      <c s="167" r="D67">
        <v>-1</v>
      </c>
      <c s="167" r="E67">
        <v>-1</v>
      </c>
      <c s="100" r="F67">
        <f>($B$15*C67)/100.0</f>
        <v>700</v>
      </c>
      <c s="56" r="G67">
        <f>0.19*F67</f>
        <v>133</v>
      </c>
      <c s="140" r="H67"/>
      <c t="s" s="50" r="I67">
        <v>39</v>
      </c>
      <c s="167" r="J67">
        <v>22.5</v>
      </c>
      <c s="167" r="K67">
        <f>($B$7*J67)*0.01</f>
        <v>7.875</v>
      </c>
      <c t="s" s="14" r="L67">
        <v>95</v>
      </c>
      <c s="167" r="M67">
        <v>-1</v>
      </c>
      <c s="100" r="N67">
        <f>($B$15*K67)/100.0</f>
        <v>787.5</v>
      </c>
      <c s="56" r="O67">
        <f>0.19*N67</f>
        <v>149.625</v>
      </c>
      <c s="87" r="P67"/>
    </row>
    <row r="68">
      <c t="s" s="50" r="A68">
        <v>43</v>
      </c>
      <c s="167" r="B68">
        <v>9</v>
      </c>
      <c s="167" r="C68">
        <f>($B$7*B68)*0.01</f>
        <v>3.15</v>
      </c>
      <c s="167" r="D68">
        <v>-1</v>
      </c>
      <c s="167" r="E68">
        <v>-1</v>
      </c>
      <c s="100" r="F68">
        <f>($B$15*C68)/100.0</f>
        <v>315</v>
      </c>
      <c s="56" r="G68">
        <f>0.19*F68</f>
        <v>59.85</v>
      </c>
      <c s="140" r="H68"/>
      <c t="s" s="50" r="I68">
        <v>43</v>
      </c>
      <c s="167" r="J68">
        <v>9</v>
      </c>
      <c s="167" r="K68">
        <f>($B$7*J68)*0.01</f>
        <v>3.15</v>
      </c>
      <c t="s" s="14" r="L68">
        <v>95</v>
      </c>
      <c s="167" r="M68">
        <v>-1</v>
      </c>
      <c s="100" r="N68">
        <f>($B$15*K68)/100.0</f>
        <v>315</v>
      </c>
      <c s="56" r="O68">
        <f>0.19*N68</f>
        <v>59.85</v>
      </c>
      <c s="87" r="P68"/>
    </row>
    <row r="69">
      <c t="s" s="50" r="A69">
        <v>51</v>
      </c>
      <c s="167" r="B69">
        <v>9</v>
      </c>
      <c s="167" r="C69">
        <f>($B$7*B69)*0.01</f>
        <v>3.15</v>
      </c>
      <c s="167" r="D69">
        <v>-1</v>
      </c>
      <c s="167" r="E69">
        <v>-1</v>
      </c>
      <c s="100" r="F69">
        <f>($B$15*C69)/100.0</f>
        <v>315</v>
      </c>
      <c s="56" r="G69">
        <f>0.19*F69</f>
        <v>59.85</v>
      </c>
      <c s="140" r="H69"/>
      <c t="s" s="50" r="I69">
        <v>51</v>
      </c>
      <c s="167" r="J69">
        <v>9</v>
      </c>
      <c s="167" r="K69">
        <f>($B$7*J69)*0.01</f>
        <v>3.15</v>
      </c>
      <c t="s" s="14" r="L69">
        <v>95</v>
      </c>
      <c s="167" r="M69">
        <v>-1</v>
      </c>
      <c s="100" r="N69">
        <f>($B$15*K69)/100.0</f>
        <v>315</v>
      </c>
      <c s="56" r="O69">
        <f>0.19*N69</f>
        <v>59.85</v>
      </c>
      <c s="87" r="P69"/>
    </row>
    <row r="70">
      <c t="s" s="50" r="A70">
        <v>53</v>
      </c>
      <c s="167" r="B70">
        <v>2</v>
      </c>
      <c s="167" r="C70">
        <f>($B$7*B70)*0.01</f>
        <v>0.7</v>
      </c>
      <c s="167" r="D70">
        <v>-1</v>
      </c>
      <c s="167" r="E70">
        <v>-1</v>
      </c>
      <c s="100" r="F70">
        <f>($B$15*C70)/100.0</f>
        <v>70</v>
      </c>
      <c s="56" r="G70">
        <f>0.19*F70</f>
        <v>13.3</v>
      </c>
      <c s="140" r="H70"/>
      <c t="s" s="50" r="I70">
        <v>53</v>
      </c>
      <c s="167" r="J70">
        <v>2</v>
      </c>
      <c s="167" r="K70">
        <f>($B$7*J70)*0.01</f>
        <v>0.7</v>
      </c>
      <c t="s" s="14" r="L70">
        <v>95</v>
      </c>
      <c s="167" r="M70">
        <v>-1</v>
      </c>
      <c s="100" r="N70">
        <f>($B$15*K70)/100.0</f>
        <v>70</v>
      </c>
      <c s="56" r="O70">
        <f>0.19*N70</f>
        <v>13.3</v>
      </c>
      <c s="87" r="P70"/>
    </row>
    <row r="71">
      <c t="s" s="50" r="A71">
        <v>41</v>
      </c>
      <c s="167" r="B71">
        <v>2.5</v>
      </c>
      <c s="167" r="C71">
        <f>($B$7*B71)*0.01</f>
        <v>0.875</v>
      </c>
      <c s="167" r="D71">
        <v>-1</v>
      </c>
      <c s="167" r="E71">
        <v>-1</v>
      </c>
      <c s="100" r="F71">
        <f>($B$15*C71)/100.0</f>
        <v>87.5</v>
      </c>
      <c s="56" r="G71">
        <f>0.19*F71</f>
        <v>16.625</v>
      </c>
      <c s="140" r="H71"/>
      <c t="s" s="50" r="I71">
        <v>41</v>
      </c>
      <c s="167" r="J71">
        <v>2.5</v>
      </c>
      <c s="167" r="K71">
        <f>($B$7*J71)*0.01</f>
        <v>0.875</v>
      </c>
      <c t="s" s="14" r="L71">
        <v>95</v>
      </c>
      <c s="167" r="M71">
        <v>-1</v>
      </c>
      <c s="100" r="N71">
        <f>($B$15*K71)/100.0</f>
        <v>87.5</v>
      </c>
      <c s="56" r="O71">
        <f>0.19*N71</f>
        <v>16.625</v>
      </c>
      <c s="87" r="P71"/>
    </row>
    <row r="72">
      <c s="7" r="A72"/>
      <c s="106" r="B72">
        <f>SUM(B61:B71)</f>
        <v>100</v>
      </c>
      <c s="79" r="C72">
        <f>SUM(C61:C71)</f>
        <v>35</v>
      </c>
      <c s="135" r="D72"/>
      <c s="6" r="E72"/>
      <c s="18" r="F72">
        <f>SUM(F61:F71)</f>
        <v>3500</v>
      </c>
      <c s="112" r="G72"/>
      <c s="140" r="H72"/>
      <c s="7" r="I72"/>
      <c s="106" r="J72">
        <f>SUM(J61:J71)</f>
        <v>100</v>
      </c>
      <c s="79" r="K72">
        <f>SUM(K61:K71)</f>
        <v>35</v>
      </c>
      <c s="135" r="L72"/>
      <c s="6" r="M72"/>
      <c s="18" r="N72">
        <f>SUM(N61:N71)</f>
        <v>3500</v>
      </c>
      <c s="112" r="O72"/>
      <c s="87" r="P72"/>
    </row>
    <row r="73">
      <c s="4" r="A73"/>
      <c s="71" r="B73"/>
      <c s="71" r="C73"/>
      <c s="71" r="D73"/>
      <c s="116" r="E73"/>
      <c s="119" r="F73"/>
      <c s="159" r="G73"/>
      <c s="140" r="H73"/>
      <c s="4" r="I73"/>
      <c s="71" r="J73"/>
      <c s="71" r="K73"/>
      <c s="71" r="L73"/>
      <c s="116" r="M73"/>
      <c s="119" r="N73"/>
      <c s="159" r="O73"/>
      <c s="87" r="P73"/>
    </row>
    <row customHeight="1" s="81" customFormat="1" r="74" ht="51.0">
      <c t="s" s="114" r="A74">
        <v>99</v>
      </c>
      <c t="s" s="152" r="B74">
        <v>90</v>
      </c>
      <c t="s" s="1" r="C74">
        <v>91</v>
      </c>
      <c t="s" s="1" r="D74">
        <v>92</v>
      </c>
      <c t="s" s="152" r="E74">
        <v>93</v>
      </c>
      <c t="s" s="22" r="F74">
        <v>84</v>
      </c>
      <c t="s" s="2" r="G74">
        <v>94</v>
      </c>
      <c s="140" r="H74"/>
      <c t="s" s="114" r="I74">
        <v>99</v>
      </c>
      <c t="s" s="152" r="J74">
        <v>90</v>
      </c>
      <c t="s" s="1" r="K74">
        <v>91</v>
      </c>
      <c t="s" s="1" r="L74">
        <v>92</v>
      </c>
      <c t="s" s="152" r="M74">
        <v>93</v>
      </c>
      <c t="s" s="22" r="N74">
        <v>84</v>
      </c>
      <c t="s" s="2" r="O74">
        <v>94</v>
      </c>
      <c s="87" r="P74"/>
    </row>
    <row r="75">
      <c t="s" s="50" r="A75">
        <v>46</v>
      </c>
      <c s="167" r="B75">
        <v>50</v>
      </c>
      <c s="167" r="C75">
        <f>($B$9*B75)*0.01</f>
        <v>1.25</v>
      </c>
      <c s="167" r="D75">
        <v>-1</v>
      </c>
      <c s="167" r="E75">
        <v>-1</v>
      </c>
      <c s="100" r="F75">
        <f>($B$15*C75)/100.0</f>
        <v>125</v>
      </c>
      <c s="56" r="G75">
        <f>0.19*F75</f>
        <v>23.75</v>
      </c>
      <c s="140" r="H75"/>
      <c t="s" s="50" r="I75">
        <v>46</v>
      </c>
      <c s="167" r="J75">
        <v>50</v>
      </c>
      <c s="167" r="K75">
        <f>($B$9*J75)*0.01</f>
        <v>1.25</v>
      </c>
      <c t="s" s="14" r="L75">
        <v>95</v>
      </c>
      <c s="167" r="M75">
        <v>-1</v>
      </c>
      <c s="100" r="N75">
        <f>($B$15*K75)/100.0</f>
        <v>125</v>
      </c>
      <c s="56" r="O75">
        <f>0.19*N75</f>
        <v>23.75</v>
      </c>
      <c s="87" r="P75"/>
    </row>
    <row r="76">
      <c t="s" s="50" r="A76">
        <v>45</v>
      </c>
      <c s="167" r="B76">
        <v>50</v>
      </c>
      <c s="167" r="C76">
        <f>($B$9*B76)*0.01</f>
        <v>1.25</v>
      </c>
      <c s="167" r="D76">
        <v>-1</v>
      </c>
      <c s="167" r="E76">
        <v>-1</v>
      </c>
      <c s="100" r="F76">
        <f>($B$15*C76)/100.0</f>
        <v>125</v>
      </c>
      <c s="56" r="G76">
        <f>0.19*F76</f>
        <v>23.75</v>
      </c>
      <c s="140" r="H76"/>
      <c t="s" s="50" r="I76">
        <v>45</v>
      </c>
      <c s="167" r="J76">
        <v>50</v>
      </c>
      <c s="167" r="K76">
        <f>($B$9*J76)*0.01</f>
        <v>1.25</v>
      </c>
      <c t="s" s="14" r="L76">
        <v>95</v>
      </c>
      <c s="167" r="M76">
        <v>-1</v>
      </c>
      <c s="100" r="N76">
        <f>($B$15*K76)/100.0</f>
        <v>125</v>
      </c>
      <c s="56" r="O76">
        <f>0.19*N76</f>
        <v>23.75</v>
      </c>
      <c s="87" r="P76"/>
    </row>
    <row r="77">
      <c s="7" r="A77"/>
      <c s="106" r="B77">
        <f>SUM(B75:B76)</f>
        <v>100</v>
      </c>
      <c s="123" r="C77">
        <f>SUM(C75:C76)</f>
        <v>2.5</v>
      </c>
      <c s="135" r="D77"/>
      <c s="6" r="E77"/>
      <c s="18" r="F77">
        <f>SUM(F75:F76)</f>
        <v>250</v>
      </c>
      <c s="112" r="G77"/>
      <c s="140" r="H77"/>
      <c s="7" r="I77"/>
      <c s="106" r="J77">
        <f>SUM(J75:J76)</f>
        <v>100</v>
      </c>
      <c s="123" r="K77">
        <f>SUM(K75:K76)</f>
        <v>2.5</v>
      </c>
      <c s="135" r="L77"/>
      <c s="6" r="M77"/>
      <c s="18" r="N77">
        <f>SUM(N75:N76)</f>
        <v>250</v>
      </c>
      <c s="112" r="O77"/>
      <c s="87" r="P77"/>
    </row>
    <row r="78">
      <c s="4" r="A78"/>
      <c s="71" r="B78"/>
      <c s="71" r="C78"/>
      <c s="71" r="D78"/>
      <c s="116" r="E78"/>
      <c s="119" r="F78"/>
      <c s="159" r="G78"/>
      <c s="140" r="H78"/>
      <c s="4" r="I78"/>
      <c s="71" r="J78"/>
      <c s="71" r="K78"/>
      <c s="71" r="L78"/>
      <c s="116" r="M78"/>
      <c s="119" r="N78"/>
      <c s="159" r="O78"/>
      <c s="87" r="P78"/>
    </row>
    <row customHeight="1" s="81" customFormat="1" r="79" ht="51.0">
      <c t="s" s="114" r="A79">
        <v>100</v>
      </c>
      <c t="s" s="152" r="B79">
        <v>90</v>
      </c>
      <c t="s" s="1" r="C79">
        <v>91</v>
      </c>
      <c t="s" s="1" r="D79">
        <v>92</v>
      </c>
      <c t="s" s="152" r="E79">
        <v>93</v>
      </c>
      <c t="s" s="22" r="F79">
        <v>84</v>
      </c>
      <c t="s" s="2" r="G79">
        <v>94</v>
      </c>
      <c s="140" r="H79"/>
      <c t="s" s="114" r="I79">
        <v>100</v>
      </c>
      <c t="s" s="152" r="J79">
        <v>90</v>
      </c>
      <c t="s" s="1" r="K79">
        <v>91</v>
      </c>
      <c t="s" s="1" r="L79">
        <v>92</v>
      </c>
      <c t="s" s="152" r="M79">
        <v>93</v>
      </c>
      <c t="s" s="22" r="N79">
        <v>84</v>
      </c>
      <c t="s" s="2" r="O79">
        <v>94</v>
      </c>
      <c s="87" r="P79"/>
    </row>
    <row r="80">
      <c t="s" s="50" r="A80">
        <v>29</v>
      </c>
      <c s="167" r="B80">
        <v>15</v>
      </c>
      <c s="167" r="C80">
        <f>($B$9*B80)*0.01</f>
        <v>0.375</v>
      </c>
      <c s="167" r="D80">
        <v>-1</v>
      </c>
      <c s="167" r="E80">
        <v>-1</v>
      </c>
      <c s="100" r="F80">
        <f>($B$15*C80)/100.0</f>
        <v>37.5</v>
      </c>
      <c s="56" r="G80">
        <f>0.19*F80</f>
        <v>7.125</v>
      </c>
      <c s="140" r="H80"/>
      <c t="s" s="50" r="I80">
        <v>29</v>
      </c>
      <c s="167" r="J80">
        <v>15</v>
      </c>
      <c s="167" r="K80">
        <f>($B$9*J80)*0.01</f>
        <v>0.375</v>
      </c>
      <c t="s" s="14" r="L80">
        <v>95</v>
      </c>
      <c s="167" r="M80">
        <v>-1</v>
      </c>
      <c s="100" r="N80">
        <f>($B$15*K80)/100.0</f>
        <v>37.5</v>
      </c>
      <c s="56" r="O80">
        <f>0.19*N80</f>
        <v>7.125</v>
      </c>
      <c s="87" r="P80"/>
    </row>
    <row r="81">
      <c t="s" s="50" r="A81">
        <v>24</v>
      </c>
      <c s="167" r="B81">
        <v>15</v>
      </c>
      <c s="167" r="C81">
        <f>($B$9*B81)*0.01</f>
        <v>0.375</v>
      </c>
      <c s="167" r="D81">
        <v>-1</v>
      </c>
      <c s="167" r="E81">
        <v>-1</v>
      </c>
      <c s="100" r="F81">
        <f>($B$15*C81)/100.0</f>
        <v>37.5</v>
      </c>
      <c s="56" r="G81">
        <f>0.19*F81</f>
        <v>7.125</v>
      </c>
      <c s="140" r="H81"/>
      <c t="s" s="50" r="I81">
        <v>24</v>
      </c>
      <c s="167" r="J81">
        <v>15</v>
      </c>
      <c s="167" r="K81">
        <f>($B$9*J81)*0.01</f>
        <v>0.375</v>
      </c>
      <c t="s" s="14" r="L81">
        <v>95</v>
      </c>
      <c s="167" r="M81">
        <v>-1</v>
      </c>
      <c s="100" r="N81">
        <f>($B$15*K81)/100.0</f>
        <v>37.5</v>
      </c>
      <c s="56" r="O81">
        <f>0.19*N81</f>
        <v>7.125</v>
      </c>
      <c s="87" r="P81"/>
    </row>
    <row r="82">
      <c t="s" s="50" r="A82">
        <v>33</v>
      </c>
      <c s="167" r="B82">
        <v>30</v>
      </c>
      <c s="167" r="C82">
        <f>($B$9*B82)*0.01</f>
        <v>0.75</v>
      </c>
      <c s="167" r="D82">
        <v>-1</v>
      </c>
      <c s="167" r="E82">
        <v>-1</v>
      </c>
      <c s="100" r="F82">
        <f>($B$15*C82)/100.0</f>
        <v>75</v>
      </c>
      <c s="56" r="G82">
        <f>0.19*F82</f>
        <v>14.25</v>
      </c>
      <c s="140" r="H82"/>
      <c t="s" s="50" r="I82">
        <v>33</v>
      </c>
      <c s="167" r="J82">
        <v>30</v>
      </c>
      <c s="167" r="K82">
        <f>($B$9*J82)*0.01</f>
        <v>0.75</v>
      </c>
      <c t="s" s="14" r="L82">
        <v>95</v>
      </c>
      <c s="167" r="M82">
        <v>-1</v>
      </c>
      <c s="100" r="N82">
        <f>($B$15*K82)/100.0</f>
        <v>75</v>
      </c>
      <c s="56" r="O82">
        <f>0.19*N82</f>
        <v>14.25</v>
      </c>
      <c s="87" r="P82"/>
    </row>
    <row r="83">
      <c t="s" s="50" r="A83">
        <v>36</v>
      </c>
      <c s="167" r="B83">
        <v>2.5</v>
      </c>
      <c s="167" r="C83">
        <f>($B$9*B83)*0.01</f>
        <v>0.0625</v>
      </c>
      <c t="s" s="14" r="D83">
        <v>95</v>
      </c>
      <c s="167" r="E83">
        <v>-1</v>
      </c>
      <c s="100" r="F83">
        <f>($B$15*C83)/100.0</f>
        <v>6.25</v>
      </c>
      <c s="56" r="G83">
        <f>0.19*F83</f>
        <v>1.1875</v>
      </c>
      <c s="140" r="H83"/>
      <c t="s" s="50" r="I83">
        <v>36</v>
      </c>
      <c s="167" r="J83">
        <v>2.5</v>
      </c>
      <c s="167" r="K83">
        <f>($B$9*J83)*0.01</f>
        <v>0.0625</v>
      </c>
      <c t="s" s="14" r="L83">
        <v>95</v>
      </c>
      <c s="167" r="M83">
        <v>-1</v>
      </c>
      <c s="100" r="N83">
        <f>($B$15*K83)/100.0</f>
        <v>6.25</v>
      </c>
      <c s="56" r="O83">
        <f>0.19*N83</f>
        <v>1.1875</v>
      </c>
      <c s="87" r="P83"/>
    </row>
    <row r="84">
      <c t="s" s="50" r="A84">
        <v>35</v>
      </c>
      <c s="167" r="B84">
        <v>2.5</v>
      </c>
      <c s="167" r="C84">
        <f>($B$9*B84)*0.01</f>
        <v>0.0625</v>
      </c>
      <c t="s" s="14" r="D84">
        <v>95</v>
      </c>
      <c s="167" r="E84">
        <v>-1</v>
      </c>
      <c s="100" r="F84">
        <f>($B$15*C84)/100.0</f>
        <v>6.25</v>
      </c>
      <c s="56" r="G84">
        <f>0.19*F84</f>
        <v>1.1875</v>
      </c>
      <c s="140" r="H84"/>
      <c t="s" s="50" r="I84">
        <v>35</v>
      </c>
      <c s="167" r="J84">
        <v>2.5</v>
      </c>
      <c s="167" r="K84">
        <f>($B$9*J84)*0.01</f>
        <v>0.0625</v>
      </c>
      <c t="s" s="14" r="L84">
        <v>95</v>
      </c>
      <c s="167" r="M84">
        <v>-1</v>
      </c>
      <c s="100" r="N84">
        <f>($B$15*K84)/100.0</f>
        <v>6.25</v>
      </c>
      <c s="56" r="O84">
        <f>0.19*N84</f>
        <v>1.1875</v>
      </c>
      <c s="87" r="P84"/>
    </row>
    <row r="85">
      <c t="s" s="50" r="A85">
        <v>27</v>
      </c>
      <c s="167" r="B85">
        <v>30</v>
      </c>
      <c s="167" r="C85">
        <f>($B$9*B85)*0.01</f>
        <v>0.75</v>
      </c>
      <c s="131" r="D85">
        <v>-1</v>
      </c>
      <c s="167" r="E85">
        <v>-1</v>
      </c>
      <c s="100" r="F85">
        <f>($B$15*C85)/100.0</f>
        <v>75</v>
      </c>
      <c s="56" r="G85">
        <f>0.19*F85</f>
        <v>14.25</v>
      </c>
      <c s="140" r="H85"/>
      <c t="s" s="50" r="I85">
        <v>27</v>
      </c>
      <c s="167" r="J85">
        <v>30</v>
      </c>
      <c s="167" r="K85">
        <f>($B$9*J85)*0.01</f>
        <v>0.75</v>
      </c>
      <c t="s" s="14" r="L85">
        <v>95</v>
      </c>
      <c s="167" r="M85">
        <v>-1</v>
      </c>
      <c s="100" r="N85">
        <f>($B$15*K85)/100.0</f>
        <v>75</v>
      </c>
      <c s="56" r="O85">
        <f>0.19*N85</f>
        <v>14.25</v>
      </c>
      <c s="87" r="P85"/>
    </row>
    <row r="86">
      <c t="s" s="50" r="A86">
        <v>30</v>
      </c>
      <c s="167" r="B86">
        <v>2.5</v>
      </c>
      <c s="167" r="C86">
        <f>($B$9*B86)*0.01</f>
        <v>0.0625</v>
      </c>
      <c t="s" s="14" r="D86">
        <v>95</v>
      </c>
      <c s="167" r="E86">
        <v>-1</v>
      </c>
      <c s="100" r="F86">
        <f>($B$15*C86)/100.0</f>
        <v>6.25</v>
      </c>
      <c s="56" r="G86">
        <f>0.19*F86</f>
        <v>1.1875</v>
      </c>
      <c s="140" r="H86"/>
      <c t="s" s="50" r="I86">
        <v>30</v>
      </c>
      <c s="167" r="J86">
        <v>2.5</v>
      </c>
      <c s="167" r="K86">
        <f>($B$9*J86)*0.01</f>
        <v>0.0625</v>
      </c>
      <c t="s" s="14" r="L86">
        <v>95</v>
      </c>
      <c s="167" r="M86">
        <v>-1</v>
      </c>
      <c s="100" r="N86">
        <f>($B$15*K86)/100.0</f>
        <v>6.25</v>
      </c>
      <c s="56" r="O86">
        <f>0.19*N86</f>
        <v>1.1875</v>
      </c>
      <c s="87" r="P86"/>
    </row>
    <row r="87">
      <c t="s" s="50" r="A87">
        <v>31</v>
      </c>
      <c s="167" r="B87">
        <v>2.5</v>
      </c>
      <c s="167" r="C87">
        <f>($B$9*B87)*0.01</f>
        <v>0.0625</v>
      </c>
      <c t="s" s="14" r="D87">
        <v>95</v>
      </c>
      <c s="167" r="E87">
        <v>-1</v>
      </c>
      <c s="100" r="F87">
        <f>($B$15*C87)/100.0</f>
        <v>6.25</v>
      </c>
      <c s="56" r="G87">
        <f>0.19*F87</f>
        <v>1.1875</v>
      </c>
      <c s="140" r="H87"/>
      <c t="s" s="50" r="I87">
        <v>31</v>
      </c>
      <c s="167" r="J87">
        <v>2.5</v>
      </c>
      <c s="167" r="K87">
        <f>($B$9*J87)*0.01</f>
        <v>0.0625</v>
      </c>
      <c t="s" s="14" r="L87">
        <v>95</v>
      </c>
      <c s="167" r="M87">
        <v>-1</v>
      </c>
      <c s="100" r="N87">
        <f>($B$15*K87)/100.0</f>
        <v>6.25</v>
      </c>
      <c s="56" r="O87">
        <f>0.19*N87</f>
        <v>1.1875</v>
      </c>
      <c s="87" r="P87"/>
    </row>
    <row r="88">
      <c s="7" r="A88"/>
      <c s="106" r="B88">
        <f>SUM(B80:B87)</f>
        <v>100</v>
      </c>
      <c s="30" r="C88">
        <f>SUM(C80:C87)</f>
        <v>2.5</v>
      </c>
      <c s="6" r="D88"/>
      <c s="6" r="E88"/>
      <c s="73" r="F88">
        <f>SUM(F80:F87)</f>
        <v>250</v>
      </c>
      <c s="59" r="G88"/>
      <c s="140" r="H88"/>
      <c s="7" r="I88"/>
      <c s="106" r="J88">
        <f>SUM(J80:J87)</f>
        <v>100</v>
      </c>
      <c s="30" r="K88">
        <f>SUM(K80:K87)</f>
        <v>2.5</v>
      </c>
      <c s="6" r="L88"/>
      <c s="6" r="M88"/>
      <c s="73" r="N88">
        <f>SUM(N80:N87)</f>
        <v>250</v>
      </c>
      <c s="59" r="O88"/>
      <c s="87" r="P88"/>
    </row>
    <row s="81" customFormat="1" r="89">
      <c s="64" r="A89"/>
      <c s="49" r="B89"/>
      <c s="49" r="C89"/>
      <c s="49" r="D89"/>
      <c s="49" r="E89"/>
      <c s="148" r="F89">
        <f>SUM(F34,F43,F58,F72,F77,F88)</f>
        <v>10000</v>
      </c>
      <c s="63" r="G89"/>
      <c s="140" r="H89"/>
      <c s="64" r="I89"/>
      <c s="49" r="J89"/>
      <c s="49" r="K89"/>
      <c s="49" r="L89"/>
      <c s="49" r="M89"/>
      <c s="148" r="N89">
        <f>SUM(N34,N43,N58,N72,N77,N88)</f>
        <v>10000</v>
      </c>
      <c s="63" r="O89"/>
      <c s="87" r="P89"/>
    </row>
    <row r="90">
      <c s="98" r="A90"/>
      <c s="98" r="B90"/>
      <c s="98" r="C90"/>
      <c s="98" r="D90"/>
      <c s="98" r="E90"/>
      <c s="98" r="F90"/>
      <c s="98" r="G90"/>
      <c s="98" r="I90"/>
      <c s="98" r="J90"/>
      <c s="98" r="K90"/>
      <c s="98" r="L90"/>
      <c s="98" r="M90"/>
      <c s="98" r="N90"/>
      <c s="98" r="O90"/>
    </row>
  </sheetData>
  <mergeCells count="4">
    <mergeCell ref="D2:F2"/>
    <mergeCell ref="A12:B12"/>
    <mergeCell ref="A19:G19"/>
    <mergeCell ref="I19:O19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81" width="19.86"/>
    <col min="2" customWidth="1" max="3" style="81" width="16.57"/>
    <col min="4" customWidth="1" max="4" style="81" width="7.86"/>
    <col min="5" customWidth="1" max="5" style="81" width="9.0"/>
    <col min="6" customWidth="1" max="6" style="81" width="12.29"/>
    <col min="7" customWidth="1" max="7" style="81" width="7.86"/>
    <col min="8" customWidth="1" max="8" style="81" width="6.86"/>
    <col min="9" customWidth="1" max="9" style="81" width="7.86"/>
    <col min="10" customWidth="1" max="10" style="81" width="6.86"/>
    <col min="11" customWidth="1" max="11" style="81" width="14.43"/>
  </cols>
  <sheetData>
    <row s="81" customFormat="1" r="1">
      <c s="31" r="B1"/>
      <c s="31" r="C1"/>
      <c s="31" r="D1"/>
      <c s="31" r="E1"/>
      <c s="31" r="F1"/>
      <c s="31" r="G1"/>
      <c s="31" r="H1"/>
      <c s="31" r="I1"/>
      <c s="31" r="J1"/>
      <c s="81" r="K1"/>
    </row>
    <row customHeight="1" s="81" customFormat="1" r="2" ht="18.0">
      <c s="63" r="A2"/>
      <c t="s" s="43" r="B2">
        <v>101</v>
      </c>
      <c s="107" r="C2"/>
      <c s="107" r="D2"/>
      <c s="107" r="E2"/>
      <c s="107" r="F2"/>
      <c s="107" r="G2"/>
      <c s="107" r="H2"/>
      <c s="107" r="I2"/>
      <c s="55" r="J2"/>
      <c s="87" r="K2"/>
    </row>
    <row customHeight="1" s="81" customFormat="1" r="3" ht="18.0">
      <c t="s" s="117" r="A3">
        <v>102</v>
      </c>
      <c t="s" s="10" r="B3">
        <v>103</v>
      </c>
      <c t="s" s="10" r="C3">
        <v>104</v>
      </c>
      <c t="s" s="10" r="D3">
        <v>105</v>
      </c>
      <c t="s" s="10" r="E3">
        <v>106</v>
      </c>
      <c t="s" s="10" r="F3">
        <v>107</v>
      </c>
      <c t="s" s="10" r="G3">
        <v>108</v>
      </c>
      <c t="s" s="10" r="H3">
        <v>109</v>
      </c>
      <c t="s" s="10" r="I3">
        <v>110</v>
      </c>
      <c t="s" s="46" r="J3">
        <v>111</v>
      </c>
    </row>
    <row r="4">
      <c t="s" s="74" r="A4">
        <v>112</v>
      </c>
      <c s="136" r="B4">
        <f>(((((SUM(B8:B20)+SUM(B24:B29))+SUM(B33:B44))+SUM(B48:B58))+SUM(B62:B63))+SUM(B67:B74))/52.0</f>
        <v>0.987788461538462</v>
      </c>
      <c s="136" r="C4">
        <f>(((((SUM(C8:C20)+SUM(C24:C29))+SUM(C33:C44))+SUM(C48:C58))+SUM(C62:C63))+SUM(C67:C74))/52.0</f>
        <v>0.969423076923077</v>
      </c>
      <c s="136" r="D4">
        <f>(((((SUM(D8:D20)+SUM(D24:D29))+SUM(D33:D44))+SUM(D48:D58))+SUM(D62:D63))+SUM(D67:D74))/52.0</f>
        <v>0.934615384615384</v>
      </c>
      <c s="136" r="E4">
        <f>(((((SUM(E8:E20)+SUM(E24:E29))+SUM(E33:E44))+SUM(E48:E58))+SUM(E62:E63))+SUM(E67:E74))/52.0</f>
        <v>0.854230769230769</v>
      </c>
      <c s="136" r="F4">
        <f>(((((SUM(F8:F20)+SUM(F24:F29))+SUM(F33:F44))+SUM(F48:F58))+SUM(F62:F63))+SUM(F67:F74))/52.0</f>
        <v>0.972307692307692</v>
      </c>
      <c s="136" r="G4">
        <f>(((((SUM(G8:G20)+SUM(G24:G29))+SUM(G33:G44))+SUM(G48:G58))+SUM(G62:G63))+SUM(G67:G74))/52.0</f>
        <v>0.103461538461538</v>
      </c>
      <c s="136" r="H4">
        <f>(((((SUM(H8:H20)+SUM(H24:H29))+SUM(H33:H44))+SUM(H48:H58))+SUM(H62:H63))+SUM(H67:H74))/52.0</f>
        <v>0.989759615384615</v>
      </c>
      <c s="136" r="I4">
        <f>(((((SUM(I8:I20)+SUM(I24:I29))+SUM(I33:I44))+SUM(I48:I58))+SUM(I62:I63))+SUM(I67:I74))/52.0</f>
        <v>0.989759615384615</v>
      </c>
      <c s="136" r="J4">
        <f>(((((SUM(J8:J20)+SUM(J24:J29))+SUM(J33:J44))+SUM(J48:J58))+SUM(J62:J63))+SUM(J67:J74))/52.0</f>
        <v>0.979690745192308</v>
      </c>
      <c s="88" r="K4"/>
    </row>
    <row s="81" customFormat="1" r="5">
      <c s="110" r="A5"/>
      <c s="110" r="B5"/>
      <c s="110" r="C5"/>
      <c s="110" r="D5"/>
      <c s="110" r="E5"/>
      <c s="110" r="F5"/>
      <c s="110" r="G5"/>
      <c s="110" r="H5"/>
      <c s="110" r="I5"/>
      <c s="110" r="J5"/>
    </row>
    <row customHeight="1" s="81" customFormat="1" r="6" ht="27.75">
      <c t="s" s="115" r="A6">
        <v>113</v>
      </c>
      <c s="33" r="B6"/>
      <c s="33" r="C6"/>
      <c s="33" r="D6"/>
      <c s="33" r="E6"/>
      <c s="33" r="F6"/>
      <c s="33" r="G6"/>
      <c s="33" r="H6"/>
      <c s="33" r="I6"/>
      <c s="95" r="J6"/>
      <c s="87" r="K6"/>
    </row>
    <row r="7">
      <c t="s" s="121" r="A7">
        <v>89</v>
      </c>
      <c t="s" s="1" r="B7">
        <v>103</v>
      </c>
      <c t="s" s="1" r="C7">
        <v>104</v>
      </c>
      <c t="s" s="1" r="D7">
        <v>105</v>
      </c>
      <c t="s" s="1" r="E7">
        <v>106</v>
      </c>
      <c t="s" s="1" r="F7">
        <v>107</v>
      </c>
      <c t="s" s="1" r="G7">
        <v>108</v>
      </c>
      <c t="s" s="1" r="H7">
        <v>109</v>
      </c>
      <c t="s" s="1" r="I7">
        <v>110</v>
      </c>
      <c t="s" s="170" r="J7">
        <v>111</v>
      </c>
      <c s="87" r="K7"/>
    </row>
    <row r="8">
      <c t="s" s="50" r="A8">
        <v>2</v>
      </c>
      <c s="136" r="B8">
        <v>0.995</v>
      </c>
      <c s="136" r="C8">
        <v>0.96</v>
      </c>
      <c s="136" r="D8">
        <v>0.93</v>
      </c>
      <c s="136" r="E8">
        <v>0.85</v>
      </c>
      <c s="136" r="F8">
        <v>0.98</v>
      </c>
      <c s="136" r="G8">
        <v>0.91</v>
      </c>
      <c s="150" r="H8">
        <v>0.9975</v>
      </c>
      <c s="150" r="I8">
        <v>0.9975</v>
      </c>
      <c s="124" r="J8">
        <f>H8*H8</f>
        <v>0.99500625</v>
      </c>
      <c s="87" r="K8"/>
    </row>
    <row r="9">
      <c t="s" s="50" r="A9">
        <v>48</v>
      </c>
      <c s="136" r="B9">
        <v>0.99</v>
      </c>
      <c s="136" r="C9">
        <v>0.97</v>
      </c>
      <c s="136" r="D9">
        <v>0.93</v>
      </c>
      <c s="136" r="E9">
        <v>0.85</v>
      </c>
      <c s="136" r="F9">
        <v>0.98</v>
      </c>
      <c s="136" r="G9">
        <v>0.91</v>
      </c>
      <c s="150" r="H9">
        <v>0.9975</v>
      </c>
      <c s="150" r="I9">
        <v>0.9975</v>
      </c>
      <c s="124" r="J9">
        <f>H9*H9</f>
        <v>0.99500625</v>
      </c>
      <c s="87" r="K9"/>
    </row>
    <row r="10">
      <c t="s" s="50" r="A10">
        <v>49</v>
      </c>
      <c s="136" r="B10">
        <v>0.99</v>
      </c>
      <c s="136" r="C10">
        <v>0.96</v>
      </c>
      <c s="136" r="D10">
        <v>0.93</v>
      </c>
      <c s="136" r="E10">
        <v>0.85</v>
      </c>
      <c s="136" r="F10">
        <v>0.97</v>
      </c>
      <c s="136" r="G10"/>
      <c s="150" r="H10">
        <v>0.99</v>
      </c>
      <c s="150" r="I10">
        <v>0.99</v>
      </c>
      <c s="124" r="J10">
        <f>H10*H10</f>
        <v>0.9801</v>
      </c>
      <c s="87" r="K10"/>
    </row>
    <row r="11">
      <c t="s" s="50" r="A11">
        <v>12</v>
      </c>
      <c s="136" r="B11">
        <v>0.99</v>
      </c>
      <c s="136" r="C11">
        <v>0.96</v>
      </c>
      <c s="136" r="D11">
        <v>0.93</v>
      </c>
      <c s="136" r="E11">
        <v>0.85</v>
      </c>
      <c s="136" r="F11">
        <v>0.94</v>
      </c>
      <c s="136" r="G11"/>
      <c s="150" r="H11">
        <v>0.97</v>
      </c>
      <c s="150" r="I11">
        <v>0.97</v>
      </c>
      <c s="124" r="J11">
        <f>H11*H11</f>
        <v>0.9409</v>
      </c>
      <c s="87" r="K11"/>
    </row>
    <row r="12">
      <c t="s" s="50" r="A12">
        <v>7</v>
      </c>
      <c s="136" r="B12">
        <v>0.99</v>
      </c>
      <c s="136" r="C12">
        <v>0.97</v>
      </c>
      <c s="136" r="D12">
        <v>0.93</v>
      </c>
      <c s="136" r="E12">
        <v>0.85</v>
      </c>
      <c s="136" r="F12">
        <v>0.96</v>
      </c>
      <c s="136" r="G12"/>
      <c s="150" r="H12">
        <v>0.9975</v>
      </c>
      <c s="150" r="I12">
        <v>0.9975</v>
      </c>
      <c s="124" r="J12">
        <f>H12*H12</f>
        <v>0.99500625</v>
      </c>
      <c s="87" r="K12"/>
    </row>
    <row r="13">
      <c t="s" s="50" r="A13">
        <v>6</v>
      </c>
      <c s="136" r="B13">
        <v>0.98</v>
      </c>
      <c s="136" r="C13">
        <v>0.96</v>
      </c>
      <c s="136" r="D13">
        <v>0.93</v>
      </c>
      <c s="136" r="E13">
        <v>0.85</v>
      </c>
      <c s="136" r="F13">
        <v>0.97</v>
      </c>
      <c s="136" r="G13"/>
      <c s="150" r="H13">
        <v>0.9975</v>
      </c>
      <c s="150" r="I13">
        <v>0.9975</v>
      </c>
      <c s="124" r="J13">
        <f>H13*H13</f>
        <v>0.99500625</v>
      </c>
      <c s="87" r="K13"/>
    </row>
    <row r="14">
      <c t="s" s="50" r="A14">
        <v>3</v>
      </c>
      <c s="136" r="B14">
        <v>0.99</v>
      </c>
      <c s="136" r="C14">
        <v>0.97</v>
      </c>
      <c s="136" r="D14">
        <v>0.93</v>
      </c>
      <c s="136" r="E14">
        <v>0.85</v>
      </c>
      <c s="136" r="F14">
        <v>0.97</v>
      </c>
      <c s="136" r="G14"/>
      <c s="150" r="H14">
        <v>0.9975</v>
      </c>
      <c s="150" r="I14">
        <v>0.9975</v>
      </c>
      <c s="124" r="J14">
        <f>H14*H14</f>
        <v>0.99500625</v>
      </c>
      <c s="87" r="K14"/>
    </row>
    <row r="15">
      <c t="s" s="50" r="A15">
        <v>4</v>
      </c>
      <c s="136" r="B15">
        <v>0.98</v>
      </c>
      <c s="136" r="C15">
        <v>0.96</v>
      </c>
      <c s="136" r="D15">
        <v>0.93</v>
      </c>
      <c s="136" r="E15">
        <v>0.85</v>
      </c>
      <c s="136" r="F15">
        <v>0.96</v>
      </c>
      <c s="136" r="G15"/>
      <c s="150" r="H15">
        <v>0.9975</v>
      </c>
      <c s="150" r="I15">
        <v>0.9975</v>
      </c>
      <c s="124" r="J15">
        <f>H15*H15</f>
        <v>0.99500625</v>
      </c>
      <c s="87" r="K15"/>
    </row>
    <row r="16">
      <c t="s" s="50" r="A16">
        <v>10</v>
      </c>
      <c s="136" r="B16">
        <v>0.99</v>
      </c>
      <c s="136" r="C16">
        <v>0.97</v>
      </c>
      <c s="136" r="D16">
        <v>0.93</v>
      </c>
      <c s="136" r="E16">
        <v>0.85</v>
      </c>
      <c s="136" r="F16">
        <v>0.99</v>
      </c>
      <c s="136" r="G16"/>
      <c s="150" r="H16">
        <v>0.9925</v>
      </c>
      <c s="150" r="I16">
        <v>0.9925</v>
      </c>
      <c s="124" r="J16">
        <f>H16*H16</f>
        <v>0.98505625</v>
      </c>
      <c s="87" r="K16"/>
    </row>
    <row r="17">
      <c t="s" s="50" r="A17">
        <v>11</v>
      </c>
      <c s="136" r="B17">
        <v>0.99</v>
      </c>
      <c s="136" r="C17">
        <v>0.97</v>
      </c>
      <c s="136" r="D17">
        <v>0.93</v>
      </c>
      <c s="136" r="E17">
        <v>0.85</v>
      </c>
      <c s="136" r="F17">
        <v>0.98</v>
      </c>
      <c s="136" r="G17"/>
      <c s="150" r="H17">
        <v>0.995</v>
      </c>
      <c s="150" r="I17">
        <v>0.995</v>
      </c>
      <c s="124" r="J17">
        <f>H17*H17</f>
        <v>0.990025</v>
      </c>
      <c s="87" r="K17"/>
    </row>
    <row r="18">
      <c t="s" s="50" r="A18">
        <v>5</v>
      </c>
      <c s="136" r="B18">
        <v>0.99</v>
      </c>
      <c s="136" r="C18">
        <v>0.97</v>
      </c>
      <c s="136" r="D18">
        <v>0.93</v>
      </c>
      <c s="136" r="E18">
        <v>0.85</v>
      </c>
      <c s="136" r="F18">
        <v>0.98</v>
      </c>
      <c s="136" r="G18"/>
      <c s="150" r="H18">
        <v>0.9925</v>
      </c>
      <c s="150" r="I18">
        <v>0.9925</v>
      </c>
      <c s="124" r="J18">
        <f>H18*H18</f>
        <v>0.98505625</v>
      </c>
      <c s="87" r="K18"/>
    </row>
    <row r="19">
      <c t="s" s="50" r="A19">
        <v>9</v>
      </c>
      <c s="136" r="B19">
        <v>0.99</v>
      </c>
      <c s="136" r="C19">
        <v>0.97</v>
      </c>
      <c s="136" r="D19">
        <v>0.93</v>
      </c>
      <c s="136" r="E19">
        <v>0.85</v>
      </c>
      <c s="136" r="F19">
        <v>0.98</v>
      </c>
      <c s="136" r="G19"/>
      <c s="150" r="H19">
        <v>0.9975</v>
      </c>
      <c s="150" r="I19">
        <v>0.9975</v>
      </c>
      <c s="124" r="J19">
        <f>H19*H19</f>
        <v>0.99500625</v>
      </c>
      <c s="87" r="K19"/>
    </row>
    <row r="20">
      <c t="s" s="50" r="A20">
        <v>8</v>
      </c>
      <c s="136" r="B20">
        <v>0.99</v>
      </c>
      <c s="136" r="C20">
        <v>0.97</v>
      </c>
      <c s="136" r="D20">
        <v>0.93</v>
      </c>
      <c s="136" r="E20">
        <v>0.85</v>
      </c>
      <c s="136" r="F20">
        <v>0.98</v>
      </c>
      <c s="136" r="G20"/>
      <c s="150" r="H20">
        <v>0.9975</v>
      </c>
      <c s="150" r="I20">
        <v>0.9975</v>
      </c>
      <c s="124" r="J20">
        <f>H20*H20</f>
        <v>0.99500625</v>
      </c>
      <c s="87" r="K20"/>
    </row>
    <row r="21">
      <c t="s" s="130" r="A21">
        <v>114</v>
      </c>
      <c s="161" r="B21">
        <f>AVERAGE(B8:B20)</f>
        <v>0.988846153846154</v>
      </c>
      <c s="161" r="C21">
        <f>AVERAGE(C8:C20)</f>
        <v>0.966153846153846</v>
      </c>
      <c s="161" r="D21">
        <f>AVERAGE(D8:D20)</f>
        <v>0.93</v>
      </c>
      <c s="161" r="E21">
        <f>AVERAGE(E8:E20)</f>
        <v>0.85</v>
      </c>
      <c s="161" r="F21">
        <f>AVERAGE(F8:F20)</f>
        <v>0.972307692307692</v>
      </c>
      <c s="161" r="G21">
        <f>AVERAGE(G8:G20)</f>
        <v>0.91</v>
      </c>
      <c s="91" r="H21">
        <f>AVERAGE(H8:H20)</f>
        <v>0.993846153846154</v>
      </c>
      <c s="91" r="I21">
        <f>AVERAGE(I8:I20)</f>
        <v>0.993846153846154</v>
      </c>
      <c s="11" r="J21">
        <f>AVERAGE(J8:J20)</f>
        <v>0.987783653846154</v>
      </c>
      <c s="87" r="K21"/>
    </row>
    <row r="22">
      <c t="s" s="162" r="A22">
        <v>115</v>
      </c>
      <c s="161" r="B22">
        <f>(((((((((((B8*B9)*B10)*B11)*B12)*B13)*B14)*B15)*B16)*B17)*B18)*B19)*B20</f>
        <v>0.864225702114264</v>
      </c>
      <c s="161" r="C22">
        <f>(((((((((((C8*C9)*C10)*C11)*C12)*C13)*C14)*C15)*C16)*C17)*C18)*C19)*C20</f>
        <v>0.6390429372108</v>
      </c>
      <c s="161" r="D22">
        <f>(((((((((((D8*D9)*D10)*D11)*D12)*D13)*D14)*D15)*D16)*D17)*D18)*D19)*D20</f>
        <v>0.389294556655815</v>
      </c>
      <c s="161" r="E22">
        <f>(((((((((((E8*E9)*E10)*E11)*E12)*E13)*E14)*E15)*E16)*E17)*E18)*E19)*E20</f>
        <v>0.120905493565746</v>
      </c>
      <c s="161" r="F22">
        <f>(((((((((((F8*F9)*F10)*F11)*F12)*F13)*F14)*F15)*F16)*F17)*F18)*F19)*F20</f>
        <v>0.693389356918577</v>
      </c>
      <c s="161" r="G22">
        <f>(((((((((((G8*G9)*G10)*G11)*G12)*G13)*G14)*G15)*G16)*G17)*G18)*G19)*G20</f>
        <v>0</v>
      </c>
      <c s="91" r="H22">
        <f>(((((((((((H8*H9)*H10)*H11)*H12)*H13)*H14)*H15)*H16)*H17)*H18)*H19)*H20</f>
        <v>0.922559266365648</v>
      </c>
      <c s="91" r="I22">
        <f>(((((((((((I8*I9)*I10)*I11)*I12)*I13)*I14)*I15)*I16)*I17)*I18)*I19)*I20</f>
        <v>0.922559266365648</v>
      </c>
      <c s="11" r="J22">
        <f>(((((((((((J8*J9)*J10)*J11)*J12)*J13)*J14)*J15)*J16)*J17)*J18)*J19)*J20</f>
        <v>0.851115599957122</v>
      </c>
      <c s="87" r="K22"/>
    </row>
    <row r="23">
      <c t="s" s="114" r="A23">
        <v>96</v>
      </c>
      <c t="s" s="1" r="B23">
        <v>103</v>
      </c>
      <c t="s" s="1" r="C23">
        <v>104</v>
      </c>
      <c t="s" s="1" r="D23">
        <v>105</v>
      </c>
      <c t="s" s="1" r="E23">
        <v>106</v>
      </c>
      <c t="s" s="1" r="F23">
        <v>107</v>
      </c>
      <c t="s" s="1" r="G23">
        <v>108</v>
      </c>
      <c t="s" s="1" r="H23">
        <v>109</v>
      </c>
      <c t="s" s="60" r="I23">
        <v>110</v>
      </c>
      <c t="s" s="170" r="J23">
        <v>111</v>
      </c>
      <c s="87" r="K23"/>
    </row>
    <row r="24">
      <c t="s" s="50" r="A24">
        <v>18</v>
      </c>
      <c s="136" r="B24">
        <v>0.99</v>
      </c>
      <c s="34" r="C24">
        <v>0.97</v>
      </c>
      <c s="34" r="D24">
        <v>0.93</v>
      </c>
      <c s="34" r="E24">
        <v>0.85</v>
      </c>
      <c s="34" r="F24">
        <v>0.98</v>
      </c>
      <c s="34" r="G24"/>
      <c s="150" r="H24">
        <v>0.985</v>
      </c>
      <c s="150" r="I24">
        <v>0.985</v>
      </c>
      <c s="124" r="J24">
        <f>H24*H24</f>
        <v>0.970225</v>
      </c>
      <c s="87" r="K24"/>
    </row>
    <row r="25">
      <c t="s" s="50" r="A25">
        <v>26</v>
      </c>
      <c s="136" r="B25">
        <v>0.99</v>
      </c>
      <c s="34" r="C25">
        <v>0.97</v>
      </c>
      <c s="34" r="D25">
        <v>0.93</v>
      </c>
      <c s="34" r="E25">
        <v>0.85</v>
      </c>
      <c s="34" r="F25">
        <v>0.98</v>
      </c>
      <c s="34" r="G25"/>
      <c s="150" r="H25">
        <v>0.985</v>
      </c>
      <c s="150" r="I25">
        <v>0.985</v>
      </c>
      <c s="124" r="J25">
        <f>H25*H25</f>
        <v>0.970225</v>
      </c>
      <c s="87" r="K25"/>
    </row>
    <row r="26">
      <c t="s" s="50" r="A26">
        <v>23</v>
      </c>
      <c s="136" r="B26">
        <v>0.99</v>
      </c>
      <c s="34" r="C26">
        <v>0.97</v>
      </c>
      <c s="34" r="D26">
        <v>0.93</v>
      </c>
      <c s="34" r="E26">
        <v>0.85</v>
      </c>
      <c s="34" r="F26">
        <v>0.96</v>
      </c>
      <c s="34" r="G26">
        <v>0.91</v>
      </c>
      <c s="150" r="H26">
        <v>0.985</v>
      </c>
      <c s="150" r="I26">
        <v>0.985</v>
      </c>
      <c s="124" r="J26">
        <f>H26*H26</f>
        <v>0.970225</v>
      </c>
      <c s="87" r="K26"/>
    </row>
    <row r="27">
      <c t="s" s="50" r="A27">
        <v>13</v>
      </c>
      <c s="136" r="B27">
        <v>0.99</v>
      </c>
      <c s="34" r="C27">
        <v>0.97</v>
      </c>
      <c s="34" r="D27">
        <v>0.93</v>
      </c>
      <c s="34" r="E27">
        <v>0.85</v>
      </c>
      <c s="34" r="F27">
        <v>0.98</v>
      </c>
      <c s="34" r="G27"/>
      <c s="150" r="H27">
        <v>0.985</v>
      </c>
      <c s="150" r="I27">
        <v>0.985</v>
      </c>
      <c s="124" r="J27">
        <f>H27*H27</f>
        <v>0.970225</v>
      </c>
      <c s="87" r="K27"/>
    </row>
    <row r="28">
      <c t="s" s="50" r="A28">
        <v>19</v>
      </c>
      <c s="136" r="B28">
        <v>0.99</v>
      </c>
      <c s="34" r="C28">
        <v>0.97</v>
      </c>
      <c s="34" r="D28">
        <v>0.93</v>
      </c>
      <c s="34" r="E28">
        <v>0.85</v>
      </c>
      <c s="34" r="F28">
        <v>0.98</v>
      </c>
      <c s="34" r="G28"/>
      <c s="150" r="H28">
        <v>0.985</v>
      </c>
      <c s="150" r="I28">
        <v>0.985</v>
      </c>
      <c s="124" r="J28">
        <f>H28*H28</f>
        <v>0.970225</v>
      </c>
      <c s="87" r="K28"/>
    </row>
    <row r="29">
      <c t="s" s="50" r="A29">
        <v>16</v>
      </c>
      <c s="136" r="B29">
        <v>0.99</v>
      </c>
      <c s="34" r="C29">
        <v>0.97</v>
      </c>
      <c s="34" r="D29">
        <v>0.93</v>
      </c>
      <c s="34" r="E29">
        <v>0.85</v>
      </c>
      <c s="34" r="F29">
        <v>0.96</v>
      </c>
      <c s="34" r="G29"/>
      <c s="150" r="H29">
        <v>0.985</v>
      </c>
      <c s="150" r="I29">
        <v>0.985</v>
      </c>
      <c s="124" r="J29">
        <f>H29*H29</f>
        <v>0.970225</v>
      </c>
      <c s="87" r="K29"/>
    </row>
    <row r="30">
      <c t="s" s="130" r="A30">
        <v>114</v>
      </c>
      <c s="161" r="B30">
        <f>AVERAGE(B24:B29)</f>
        <v>0.99</v>
      </c>
      <c s="161" r="C30">
        <f>AVERAGE(C24:C29)</f>
        <v>0.97</v>
      </c>
      <c s="161" r="D30">
        <f>AVERAGE(D24:D29)</f>
        <v>0.93</v>
      </c>
      <c s="161" r="E30">
        <f>AVERAGE(E24:E29)</f>
        <v>0.85</v>
      </c>
      <c s="161" r="F30">
        <f>AVERAGE(F24:F29)</f>
        <v>0.973333333333333</v>
      </c>
      <c s="161" r="G30">
        <f>AVERAGE(G24:G29)</f>
        <v>0.91</v>
      </c>
      <c s="91" r="H30">
        <f>AVERAGE(H24:H29)</f>
        <v>0.985</v>
      </c>
      <c s="91" r="I30">
        <f>AVERAGE(I24:I29)</f>
        <v>0.985</v>
      </c>
      <c s="11" r="J30">
        <f>AVERAGE(J24:J29)</f>
        <v>0.970225</v>
      </c>
      <c s="87" r="K30"/>
    </row>
    <row r="31">
      <c t="s" s="162" r="A31">
        <v>115</v>
      </c>
      <c s="161" r="B31">
        <f>((((B24*B25)*B26)*B27)*B28)*B29</f>
        <v>0.941480149401</v>
      </c>
      <c s="161" r="C31">
        <f>((((C24*C25)*C26)*C27)*C28)*C29</f>
        <v>0.832972004929</v>
      </c>
      <c s="161" r="D31">
        <f>((((D24*D25)*D26)*D27)*D28)*D29</f>
        <v>0.646990183449</v>
      </c>
      <c s="161" r="E31">
        <f>((((E24*E25)*E26)*E27)*E28)*E29</f>
        <v>0.377149515625</v>
      </c>
      <c s="161" r="F31">
        <f>((((F24*F25)*F26)*F27)*F28)*F29</f>
        <v>0.850054496256</v>
      </c>
      <c s="161" r="G31">
        <f>((((G24*G25)*G26)*G27)*G28)*G29</f>
        <v>0</v>
      </c>
      <c s="91" r="H31">
        <f>((((H24*H25)*H26)*H27)*H28)*H29</f>
        <v>0.913308254830141</v>
      </c>
      <c s="91" r="I31">
        <f>((((I24*I25)*I26)*I27)*I28)*I29</f>
        <v>0.913308254830141</v>
      </c>
      <c s="11" r="J31">
        <f>((((J24*J25)*J26)*J27)*J28)*J29</f>
        <v>0.834131968340877</v>
      </c>
      <c s="87" r="K31"/>
    </row>
    <row r="32">
      <c t="s" s="114" r="A32">
        <v>97</v>
      </c>
      <c t="s" s="1" r="B32">
        <v>103</v>
      </c>
      <c t="s" s="1" r="C32">
        <v>104</v>
      </c>
      <c t="s" s="1" r="D32">
        <v>105</v>
      </c>
      <c t="s" s="1" r="E32">
        <v>106</v>
      </c>
      <c t="s" s="1" r="F32">
        <v>107</v>
      </c>
      <c t="s" s="1" r="G32">
        <v>108</v>
      </c>
      <c t="s" s="1" r="H32">
        <v>109</v>
      </c>
      <c t="s" s="60" r="I32">
        <v>110</v>
      </c>
      <c t="s" s="170" r="J32">
        <v>111</v>
      </c>
      <c s="87" r="K32"/>
    </row>
    <row r="33">
      <c t="s" s="50" r="A33">
        <v>47</v>
      </c>
      <c s="136" r="B33">
        <v>0.99</v>
      </c>
      <c s="34" r="C33">
        <v>0.97</v>
      </c>
      <c s="34" r="D33">
        <v>0.93</v>
      </c>
      <c s="34" r="E33">
        <v>0.85</v>
      </c>
      <c s="34" r="F33">
        <v>0.98</v>
      </c>
      <c s="34" r="G33"/>
      <c s="150" r="H33">
        <v>0.9925</v>
      </c>
      <c s="150" r="I33">
        <v>0.9925</v>
      </c>
      <c s="124" r="J33">
        <f>H33*H33</f>
        <v>0.98505625</v>
      </c>
      <c s="87" r="K33"/>
    </row>
    <row r="34">
      <c t="s" s="50" r="A34">
        <v>22</v>
      </c>
      <c s="136" r="B34">
        <v>0.99</v>
      </c>
      <c s="34" r="C34">
        <v>0.97</v>
      </c>
      <c s="34" r="D34">
        <v>0.93</v>
      </c>
      <c s="34" r="E34">
        <v>0.85</v>
      </c>
      <c s="34" r="F34">
        <v>0.98</v>
      </c>
      <c s="34" r="G34"/>
      <c s="150" r="H34">
        <v>0.9925</v>
      </c>
      <c s="150" r="I34">
        <v>0.9925</v>
      </c>
      <c s="124" r="J34">
        <f>H34*H34</f>
        <v>0.98505625</v>
      </c>
      <c s="87" r="K34"/>
    </row>
    <row r="35">
      <c t="s" s="50" r="A35">
        <v>20</v>
      </c>
      <c s="136" r="B35">
        <v>0.99</v>
      </c>
      <c s="34" r="C35">
        <v>0.97</v>
      </c>
      <c s="34" r="D35">
        <v>0.93</v>
      </c>
      <c s="34" r="E35">
        <v>0.85</v>
      </c>
      <c s="34" r="F35">
        <v>0.98</v>
      </c>
      <c s="34" r="G35"/>
      <c s="150" r="H35">
        <v>0.9925</v>
      </c>
      <c s="150" r="I35">
        <v>0.9925</v>
      </c>
      <c s="124" r="J35">
        <f>H35*H35</f>
        <v>0.98505625</v>
      </c>
      <c s="87" r="K35"/>
    </row>
    <row r="36">
      <c t="s" s="50" r="A36">
        <v>28</v>
      </c>
      <c s="136" r="B36">
        <v>0.99</v>
      </c>
      <c s="34" r="C36">
        <v>0.97</v>
      </c>
      <c s="34" r="D36">
        <v>0.93</v>
      </c>
      <c s="34" r="E36">
        <v>0.85</v>
      </c>
      <c s="34" r="F36">
        <v>0.99</v>
      </c>
      <c s="34" r="G36"/>
      <c s="150" r="H36">
        <v>0.96</v>
      </c>
      <c s="150" r="I36">
        <v>0.96</v>
      </c>
      <c s="124" r="J36">
        <f>H36*H36</f>
        <v>0.9216</v>
      </c>
      <c s="87" r="K36"/>
    </row>
    <row r="37">
      <c t="s" s="50" r="A37">
        <v>37</v>
      </c>
      <c s="136" r="B37">
        <v>0.99</v>
      </c>
      <c s="34" r="C37">
        <v>0.97</v>
      </c>
      <c s="34" r="D37">
        <v>0.93</v>
      </c>
      <c s="34" r="E37">
        <v>0.85</v>
      </c>
      <c s="34" r="F37">
        <v>0.99</v>
      </c>
      <c s="34" r="G37"/>
      <c s="150" r="H37">
        <v>0.9925</v>
      </c>
      <c s="150" r="I37">
        <v>0.9925</v>
      </c>
      <c s="124" r="J37">
        <f>H37*H37</f>
        <v>0.98505625</v>
      </c>
      <c s="87" r="K37"/>
    </row>
    <row r="38">
      <c t="s" s="50" r="A38">
        <v>25</v>
      </c>
      <c s="136" r="B38">
        <v>0.99</v>
      </c>
      <c s="34" r="C38">
        <v>0.97</v>
      </c>
      <c s="34" r="D38">
        <v>0.93</v>
      </c>
      <c s="34" r="E38">
        <v>0.85</v>
      </c>
      <c s="34" r="F38">
        <v>0.98</v>
      </c>
      <c s="34" r="G38"/>
      <c s="150" r="H38">
        <v>0.96</v>
      </c>
      <c s="150" r="I38">
        <v>0.96</v>
      </c>
      <c s="124" r="J38">
        <f>H38*H38</f>
        <v>0.9216</v>
      </c>
      <c s="87" r="K38"/>
    </row>
    <row r="39">
      <c t="s" s="50" r="A39">
        <v>17</v>
      </c>
      <c s="136" r="B39">
        <v>0.99</v>
      </c>
      <c s="34" r="C39">
        <v>0.97</v>
      </c>
      <c s="34" r="D39">
        <v>0.93</v>
      </c>
      <c s="34" r="E39">
        <v>0.85</v>
      </c>
      <c s="34" r="F39">
        <v>0.98</v>
      </c>
      <c s="34" r="G39"/>
      <c s="150" r="H39">
        <v>0.98</v>
      </c>
      <c s="150" r="I39">
        <v>0.98</v>
      </c>
      <c s="124" r="J39">
        <f>H39*H39</f>
        <v>0.9604</v>
      </c>
      <c s="87" r="K39"/>
    </row>
    <row r="40">
      <c t="s" s="50" r="A40">
        <v>15</v>
      </c>
      <c s="136" r="B40">
        <v>0.99</v>
      </c>
      <c s="34" r="C40">
        <v>0.97</v>
      </c>
      <c s="34" r="D40">
        <v>0.93</v>
      </c>
      <c s="34" r="E40">
        <v>0.85</v>
      </c>
      <c s="34" r="F40">
        <v>0.96</v>
      </c>
      <c s="34" r="G40"/>
      <c s="150" r="H40">
        <v>0.9975</v>
      </c>
      <c s="150" r="I40">
        <v>0.9975</v>
      </c>
      <c s="124" r="J40">
        <f>H40*H40</f>
        <v>0.99500625</v>
      </c>
      <c s="87" r="K40"/>
    </row>
    <row r="41">
      <c t="s" s="50" r="A41">
        <v>14</v>
      </c>
      <c s="136" r="B41">
        <v>0.99</v>
      </c>
      <c s="34" r="C41">
        <v>0.97</v>
      </c>
      <c s="34" r="D41">
        <v>0.93</v>
      </c>
      <c s="34" r="E41">
        <v>0.85</v>
      </c>
      <c s="34" r="F41">
        <v>0.96</v>
      </c>
      <c s="34" r="G41"/>
      <c s="150" r="H41">
        <v>0.9975</v>
      </c>
      <c s="150" r="I41">
        <v>0.9975</v>
      </c>
      <c s="124" r="J41">
        <f>H41*H41</f>
        <v>0.99500625</v>
      </c>
      <c s="87" r="K41"/>
    </row>
    <row r="42">
      <c t="s" s="50" r="A42">
        <v>21</v>
      </c>
      <c s="136" r="B42">
        <v>0.99</v>
      </c>
      <c s="34" r="C42">
        <v>0.97</v>
      </c>
      <c s="34" r="D42">
        <v>0.93</v>
      </c>
      <c s="34" r="E42">
        <v>0.85</v>
      </c>
      <c s="34" r="F42">
        <v>0.96</v>
      </c>
      <c s="34" r="G42">
        <v>0.89</v>
      </c>
      <c s="150" r="H42">
        <v>0.9925</v>
      </c>
      <c s="150" r="I42">
        <v>0.9925</v>
      </c>
      <c s="124" r="J42">
        <f>H42*H42</f>
        <v>0.98505625</v>
      </c>
      <c s="87" r="K42"/>
    </row>
    <row r="43">
      <c t="s" s="50" r="A43">
        <v>32</v>
      </c>
      <c s="136" r="B43">
        <v>0.99</v>
      </c>
      <c s="34" r="C43">
        <v>0.97</v>
      </c>
      <c s="34" r="D43">
        <v>0.93</v>
      </c>
      <c s="34" r="E43">
        <v>0.85</v>
      </c>
      <c s="34" r="F43">
        <v>0.94</v>
      </c>
      <c s="34" r="G43">
        <v>0.87</v>
      </c>
      <c s="150" r="H43">
        <v>0.9925</v>
      </c>
      <c s="150" r="I43">
        <v>0.9925</v>
      </c>
      <c s="124" r="J43">
        <f>H43*H43</f>
        <v>0.98505625</v>
      </c>
      <c s="87" r="K43"/>
    </row>
    <row r="44">
      <c t="s" s="50" r="A44">
        <v>34</v>
      </c>
      <c s="136" r="B44">
        <v>0.99</v>
      </c>
      <c s="34" r="C44">
        <v>0.97</v>
      </c>
      <c s="34" r="D44">
        <v>0.93</v>
      </c>
      <c s="34" r="E44">
        <v>0.85</v>
      </c>
      <c s="34" r="F44">
        <v>0.96</v>
      </c>
      <c s="34" r="G44">
        <v>0.89</v>
      </c>
      <c s="150" r="H44">
        <v>0.9925</v>
      </c>
      <c s="150" r="I44">
        <v>0.9925</v>
      </c>
      <c s="124" r="J44">
        <f>H44*H44</f>
        <v>0.98505625</v>
      </c>
      <c s="87" r="K44"/>
    </row>
    <row r="45">
      <c t="s" s="130" r="A45">
        <v>114</v>
      </c>
      <c s="161" r="B45">
        <f>AVERAGE(B33:B44)</f>
        <v>0.99</v>
      </c>
      <c s="161" r="C45">
        <f>AVERAGE(C33:C44)</f>
        <v>0.97</v>
      </c>
      <c s="161" r="D45">
        <f>AVERAGE(D33:D44)</f>
        <v>0.93</v>
      </c>
      <c s="161" r="E45">
        <f>AVERAGE(E33:E44)</f>
        <v>0.85</v>
      </c>
      <c s="161" r="F45">
        <f>AVERAGE(F33:F44)</f>
        <v>0.971666666666667</v>
      </c>
      <c s="161" r="G45">
        <f>AVERAGE(G33:G44)</f>
        <v>0.883333333333333</v>
      </c>
      <c s="91" r="H45">
        <f>AVERAGE(H33:H44)</f>
        <v>0.986875</v>
      </c>
      <c s="91" r="I45">
        <f>AVERAGE(I33:I44)</f>
        <v>0.986875</v>
      </c>
      <c s="11" r="J45">
        <f>AVERAGE(J33:J44)</f>
        <v>0.974083854166666</v>
      </c>
      <c s="87" r="K45"/>
    </row>
    <row r="46">
      <c t="s" s="162" r="A46">
        <v>115</v>
      </c>
      <c s="161" r="B46">
        <f>((((((((((B33*B34)*B35)*B36)*B37)*B38)*B39)*B40)*B41)*B42)*B43)*B44</f>
        <v>0.886384871716129</v>
      </c>
      <c s="161" r="C46">
        <f>((((((((((C33*C34)*C35)*C36)*C37)*C38)*C39)*C40)*C41)*C42)*C43)*C44</f>
        <v>0.693842360995438</v>
      </c>
      <c s="161" r="D46">
        <f>((((((((((D33*D34)*D35)*D36)*D37)*D38)*D39)*D40)*D41)*D42)*D43)*D44</f>
        <v>0.418596297479371</v>
      </c>
      <c s="161" r="E46">
        <f>((((((((((E33*E34)*E35)*E36)*E37)*E38)*E39)*E40)*E41)*E42)*E43)*E44</f>
        <v>0.142241757136172</v>
      </c>
      <c s="161" r="F46">
        <f>((((((((((F33*F34)*F35)*F36)*F37)*F38)*F39)*F40)*F41)*F42)*F43)*F44</f>
        <v>0.707316115905517</v>
      </c>
      <c s="161" r="G46">
        <f>((((((((((G33*G34)*G35)*G36)*G37)*G38)*G39)*G40)*G41)*G42)*G43)*G44</f>
        <v>0</v>
      </c>
      <c s="91" r="H46">
        <f>((((((((((H33*H34)*H35)*H36)*H37)*H38)*H39)*H40)*H41)*H42)*H43)*H44</f>
        <v>0.852526639408384</v>
      </c>
      <c s="91" r="I46">
        <f>((((((((((I33*I34)*I35)*I36)*I37)*I38)*I39)*I40)*I41)*I42)*I43)*I44</f>
        <v>0.852526639408384</v>
      </c>
      <c s="11" r="J46">
        <f>((((((((((J33*J34)*J35)*J36)*J37)*J38)*J39)*J40)*J41)*J42)*J43)*J44</f>
        <v>0.726801670900952</v>
      </c>
      <c s="87" r="K46"/>
    </row>
    <row r="47">
      <c t="s" s="114" r="A47">
        <v>98</v>
      </c>
      <c t="s" s="1" r="B47">
        <v>103</v>
      </c>
      <c t="s" s="1" r="C47">
        <v>104</v>
      </c>
      <c t="s" s="1" r="D47">
        <v>105</v>
      </c>
      <c t="s" s="1" r="E47">
        <v>106</v>
      </c>
      <c t="s" s="1" r="F47">
        <v>107</v>
      </c>
      <c t="s" s="1" r="G47">
        <v>108</v>
      </c>
      <c t="s" s="1" r="H47">
        <v>109</v>
      </c>
      <c t="s" s="60" r="I47">
        <v>110</v>
      </c>
      <c t="s" s="170" r="J47">
        <v>111</v>
      </c>
      <c s="87" r="K47"/>
    </row>
    <row r="48">
      <c t="s" s="50" r="A48">
        <v>38</v>
      </c>
      <c s="136" r="B48">
        <v>0.99</v>
      </c>
      <c s="34" r="C48">
        <v>0.97</v>
      </c>
      <c s="34" r="D48">
        <v>0.93</v>
      </c>
      <c s="34" r="E48">
        <v>0.85</v>
      </c>
      <c s="34" r="F48">
        <v>0.96</v>
      </c>
      <c s="34" r="G48"/>
      <c s="150" r="H48">
        <v>0.995</v>
      </c>
      <c s="150" r="I48">
        <v>0.995</v>
      </c>
      <c s="124" r="J48">
        <f>H48*H48</f>
        <v>0.990025</v>
      </c>
      <c s="87" r="K48"/>
    </row>
    <row r="49">
      <c t="s" s="50" r="A49">
        <v>40</v>
      </c>
      <c s="136" r="B49">
        <v>0.99</v>
      </c>
      <c s="34" r="C49">
        <v>0.97</v>
      </c>
      <c s="34" r="D49">
        <v>0.93</v>
      </c>
      <c s="34" r="E49">
        <v>0.85</v>
      </c>
      <c s="34" r="F49">
        <v>0.97</v>
      </c>
      <c s="34" r="G49"/>
      <c s="150" r="H49">
        <v>0.9925</v>
      </c>
      <c s="150" r="I49">
        <v>0.9925</v>
      </c>
      <c s="124" r="J49">
        <f>H49*H49</f>
        <v>0.98505625</v>
      </c>
      <c s="87" r="K49"/>
    </row>
    <row r="50">
      <c t="s" s="50" r="A50">
        <v>44</v>
      </c>
      <c s="136" r="B50">
        <v>0.99</v>
      </c>
      <c s="34" r="C50">
        <v>0.97</v>
      </c>
      <c s="34" r="D50">
        <v>0.93</v>
      </c>
      <c s="34" r="E50">
        <v>0.85</v>
      </c>
      <c s="34" r="F50">
        <v>0.96</v>
      </c>
      <c s="34" r="G50"/>
      <c s="150" r="H50">
        <v>0.9925</v>
      </c>
      <c s="150" r="I50">
        <v>0.9925</v>
      </c>
      <c s="124" r="J50">
        <f>H50*H50</f>
        <v>0.98505625</v>
      </c>
      <c s="87" r="K50"/>
    </row>
    <row r="51">
      <c t="s" s="50" r="A51">
        <v>50</v>
      </c>
      <c s="136" r="B51">
        <v>0.99</v>
      </c>
      <c s="34" r="C51">
        <v>0.97</v>
      </c>
      <c s="34" r="D51">
        <v>0.93</v>
      </c>
      <c s="34" r="E51">
        <v>0.85</v>
      </c>
      <c s="34" r="F51">
        <v>0.98</v>
      </c>
      <c s="34" r="G51"/>
      <c s="150" r="H51">
        <v>0.9925</v>
      </c>
      <c s="150" r="I51">
        <v>0.9925</v>
      </c>
      <c s="124" r="J51">
        <f>H51*H51</f>
        <v>0.98505625</v>
      </c>
      <c s="87" r="K51"/>
    </row>
    <row r="52">
      <c t="s" s="50" r="A52">
        <v>52</v>
      </c>
      <c s="136" r="B52">
        <v>0.98</v>
      </c>
      <c s="34" r="C52">
        <v>0.97</v>
      </c>
      <c s="34" r="D52">
        <v>0.93</v>
      </c>
      <c s="34" r="E52">
        <v>0.85</v>
      </c>
      <c s="34" r="F52">
        <v>0.99</v>
      </c>
      <c s="34" r="G52"/>
      <c s="150" r="H52">
        <v>0.99</v>
      </c>
      <c s="150" r="I52">
        <v>0.99</v>
      </c>
      <c s="124" r="J52">
        <f>H52*H52</f>
        <v>0.9801</v>
      </c>
      <c s="87" r="K52"/>
    </row>
    <row r="53">
      <c t="s" s="50" r="A53">
        <v>42</v>
      </c>
      <c s="136" r="B53">
        <v>0.99</v>
      </c>
      <c s="34" r="C53">
        <v>0.97</v>
      </c>
      <c s="34" r="D53">
        <v>0.93</v>
      </c>
      <c s="34" r="E53">
        <v>0.85</v>
      </c>
      <c s="34" r="F53">
        <v>0.96</v>
      </c>
      <c s="34" r="G53"/>
      <c s="150" r="H53">
        <v>0.99</v>
      </c>
      <c s="150" r="I53">
        <v>0.99</v>
      </c>
      <c s="124" r="J53">
        <f>H53*H53</f>
        <v>0.9801</v>
      </c>
      <c s="87" r="K53"/>
    </row>
    <row r="54">
      <c t="s" s="50" r="A54">
        <v>39</v>
      </c>
      <c s="136" r="B54">
        <v>0.99</v>
      </c>
      <c s="34" r="C54">
        <v>0.97</v>
      </c>
      <c s="34" r="D54">
        <v>0.93</v>
      </c>
      <c s="34" r="E54">
        <v>0.85</v>
      </c>
      <c s="34" r="F54">
        <v>0.97</v>
      </c>
      <c s="34" r="G54"/>
      <c s="150" r="H54">
        <v>0.9925</v>
      </c>
      <c s="150" r="I54">
        <v>0.9925</v>
      </c>
      <c s="124" r="J54">
        <f>H54*H54</f>
        <v>0.98505625</v>
      </c>
      <c s="87" r="K54"/>
    </row>
    <row r="55">
      <c t="s" s="50" r="A55">
        <v>43</v>
      </c>
      <c s="136" r="B55">
        <v>0.99</v>
      </c>
      <c s="34" r="C55">
        <v>0.97</v>
      </c>
      <c s="34" r="D55">
        <v>0.93</v>
      </c>
      <c s="34" r="E55">
        <v>0.85</v>
      </c>
      <c s="34" r="F55">
        <v>0.96</v>
      </c>
      <c s="34" r="G55"/>
      <c s="150" r="H55">
        <v>0.9925</v>
      </c>
      <c s="150" r="I55">
        <v>0.9925</v>
      </c>
      <c s="124" r="J55">
        <f>H55*H55</f>
        <v>0.98505625</v>
      </c>
      <c s="87" r="K55"/>
    </row>
    <row r="56">
      <c t="s" s="50" r="A56">
        <v>51</v>
      </c>
      <c s="136" r="B56">
        <v>0.99</v>
      </c>
      <c s="34" r="C56">
        <v>0.97</v>
      </c>
      <c s="34" r="D56">
        <v>0.93</v>
      </c>
      <c s="34" r="E56">
        <v>0.85</v>
      </c>
      <c s="34" r="F56">
        <v>0.98</v>
      </c>
      <c s="34" r="G56"/>
      <c s="150" r="H56">
        <v>0.9925</v>
      </c>
      <c s="150" r="I56">
        <v>0.9925</v>
      </c>
      <c s="124" r="J56">
        <f>H56*H56</f>
        <v>0.98505625</v>
      </c>
      <c s="87" r="K56"/>
    </row>
    <row r="57">
      <c t="s" s="50" r="A57">
        <v>53</v>
      </c>
      <c s="136" r="B57">
        <v>0.98</v>
      </c>
      <c s="34" r="C57">
        <v>0.97</v>
      </c>
      <c s="34" r="D57">
        <v>0.93</v>
      </c>
      <c s="34" r="E57">
        <v>0.85</v>
      </c>
      <c s="34" r="F57">
        <v>0.99</v>
      </c>
      <c s="34" r="G57"/>
      <c s="150" r="H57">
        <v>0.99</v>
      </c>
      <c s="150" r="I57">
        <v>0.99</v>
      </c>
      <c s="124" r="J57">
        <f>H57*H57</f>
        <v>0.9801</v>
      </c>
      <c s="87" r="K57"/>
    </row>
    <row r="58">
      <c t="s" s="50" r="A58">
        <v>41</v>
      </c>
      <c s="136" r="B58">
        <v>0.99</v>
      </c>
      <c s="34" r="C58">
        <v>0.97</v>
      </c>
      <c s="34" r="D58">
        <v>0.93</v>
      </c>
      <c s="34" r="E58">
        <v>0.85</v>
      </c>
      <c s="34" r="F58">
        <v>0.96</v>
      </c>
      <c s="34" r="G58"/>
      <c s="150" r="H58">
        <v>0.99</v>
      </c>
      <c s="150" r="I58">
        <v>0.99</v>
      </c>
      <c s="124" r="J58">
        <f>H58*H58</f>
        <v>0.9801</v>
      </c>
      <c s="87" r="K58"/>
    </row>
    <row r="59">
      <c t="s" s="130" r="A59">
        <v>114</v>
      </c>
      <c s="161" r="B59">
        <f>AVERAGE(B48:B58)</f>
        <v>0.988181818181818</v>
      </c>
      <c s="161" r="C59">
        <f>AVERAGE(C48:C58)</f>
        <v>0.97</v>
      </c>
      <c s="161" r="D59">
        <f>AVERAGE(D48:D58)</f>
        <v>0.93</v>
      </c>
      <c s="161" r="E59">
        <f>AVERAGE(E48:E58)</f>
        <v>0.85</v>
      </c>
      <c s="161" r="F59">
        <f>AVERAGE(F48:F58)</f>
        <v>0.970909090909091</v>
      </c>
      <c t="str" s="161" r="G59">
        <f>AVERAGE(G48:G58)</f>
        <v>#DIV/0!:noData</v>
      </c>
      <c s="91" r="H59">
        <f>AVERAGE(H48:H58)</f>
        <v>0.991818181818182</v>
      </c>
      <c s="91" r="I59">
        <f>AVERAGE(I48:I58)</f>
        <v>0.991818181818182</v>
      </c>
      <c s="11" r="J59">
        <f>AVERAGE(J48:J58)</f>
        <v>0.983705681818182</v>
      </c>
      <c s="87" r="K59"/>
    </row>
    <row r="60">
      <c t="s" s="162" r="A60">
        <v>115</v>
      </c>
      <c s="161" r="B60">
        <f>(((((((((B48*B49)*B50)*B51)*B52)*B53)*B54)*B55)*B56)*B57)*B58</f>
        <v>0.877341964483288</v>
      </c>
      <c s="161" r="C60">
        <f>(((((((((C48*C49)*C50)*C51)*C52)*C53)*C54)*C55)*C56)*C57)*C58</f>
        <v>0.71530140308808</v>
      </c>
      <c s="161" r="D60">
        <f>(((((((((D48*D49)*D50)*D51)*D52)*D53)*D54)*D55)*D56)*D57)*D58</f>
        <v>0.450103545676743</v>
      </c>
      <c s="161" r="E60">
        <f>(((((((((E48*E49)*E50)*E51)*E52)*E53)*E54)*E55)*E56)*E57)*E58</f>
        <v>0.167343243689614</v>
      </c>
      <c s="161" r="F60">
        <f>(((((((((F48*F49)*F50)*F51)*F52)*F53)*F54)*F55)*F56)*F57)*F58</f>
        <v>0.722141284801366</v>
      </c>
      <c s="161" r="G60">
        <f>(((((((((G48*G49)*G50)*G51)*G52)*G53)*G54)*G55)*G56)*G57)*G58</f>
        <v>0</v>
      </c>
      <c s="91" r="H60">
        <f>(((((((((H48*H49)*H50)*H51)*H52)*H53)*H54)*H55)*H56)*H57)*H58</f>
        <v>0.913580774694495</v>
      </c>
      <c s="91" r="I60">
        <f>(((((((((I48*I49)*I50)*I51)*I52)*I53)*I54)*I55)*I56)*I57)*I58</f>
        <v>0.913580774694495</v>
      </c>
      <c s="11" r="J60">
        <f>(((((((((J48*J49)*J50)*J51)*J52)*J53)*J54)*J55)*J56)*J57)*J58</f>
        <v>0.834629831891394</v>
      </c>
      <c s="87" r="K60"/>
    </row>
    <row r="61">
      <c t="s" s="114" r="A61">
        <v>99</v>
      </c>
      <c t="s" s="1" r="B61">
        <v>103</v>
      </c>
      <c t="s" s="1" r="C61">
        <v>104</v>
      </c>
      <c t="s" s="1" r="D61">
        <v>105</v>
      </c>
      <c t="s" s="1" r="E61">
        <v>106</v>
      </c>
      <c t="s" s="1" r="F61">
        <v>107</v>
      </c>
      <c t="s" s="1" r="G61">
        <v>108</v>
      </c>
      <c t="s" s="1" r="H61">
        <v>109</v>
      </c>
      <c t="s" s="60" r="I61">
        <v>110</v>
      </c>
      <c t="s" s="170" r="J61">
        <v>111</v>
      </c>
      <c s="87" r="K61"/>
    </row>
    <row r="62">
      <c t="s" s="50" r="A62">
        <v>46</v>
      </c>
      <c s="136" r="B62">
        <v>0.98</v>
      </c>
      <c s="34" r="C62">
        <v>0.97</v>
      </c>
      <c s="34" r="D62">
        <v>0.93</v>
      </c>
      <c s="34" r="E62">
        <v>0.8</v>
      </c>
      <c s="34" r="F62">
        <v>0.96</v>
      </c>
      <c s="34" r="G62"/>
      <c s="150" r="H62">
        <v>0.98</v>
      </c>
      <c s="150" r="I62">
        <v>0.98</v>
      </c>
      <c s="124" r="J62">
        <f>H62*H62</f>
        <v>0.9604</v>
      </c>
      <c s="87" r="K62"/>
    </row>
    <row r="63">
      <c t="s" s="50" r="A63">
        <v>45</v>
      </c>
      <c s="136" r="B63">
        <v>0.98</v>
      </c>
      <c s="34" r="C63">
        <v>0.97</v>
      </c>
      <c s="34" r="D63">
        <v>0.93</v>
      </c>
      <c s="34" r="E63">
        <v>0.8</v>
      </c>
      <c s="34" r="F63">
        <v>0.96</v>
      </c>
      <c s="34" r="G63"/>
      <c s="150" r="H63">
        <v>0.98</v>
      </c>
      <c s="150" r="I63">
        <v>0.98</v>
      </c>
      <c s="124" r="J63">
        <f>H63*H63</f>
        <v>0.9604</v>
      </c>
      <c s="87" r="K63"/>
    </row>
    <row r="64">
      <c t="s" s="130" r="A64">
        <v>114</v>
      </c>
      <c s="161" r="B64">
        <f>AVERAGE(B62:B63)</f>
        <v>0.98</v>
      </c>
      <c s="161" r="C64">
        <f>AVERAGE(C62:C63)</f>
        <v>0.97</v>
      </c>
      <c s="161" r="D64">
        <f>AVERAGE(D62:D63)</f>
        <v>0.93</v>
      </c>
      <c s="161" r="E64">
        <f>AVERAGE(E62:E63)</f>
        <v>0.8</v>
      </c>
      <c s="161" r="F64">
        <f>AVERAGE(F62:F63)</f>
        <v>0.96</v>
      </c>
      <c t="str" s="161" r="G64">
        <f>AVERAGE(G62:G63)</f>
        <v>#DIV/0!:noData</v>
      </c>
      <c s="91" r="H64">
        <f>AVERAGE(H62:H63)</f>
        <v>0.98</v>
      </c>
      <c s="91" r="I64">
        <f>AVERAGE(I62:I63)</f>
        <v>0.98</v>
      </c>
      <c s="11" r="J64">
        <f>AVERAGE(J62:J63)</f>
        <v>0.9604</v>
      </c>
      <c s="87" r="K64"/>
    </row>
    <row r="65">
      <c t="s" s="162" r="A65">
        <v>115</v>
      </c>
      <c s="161" r="B65">
        <f>B62*B63</f>
        <v>0.9604</v>
      </c>
      <c s="161" r="C65">
        <f>C62*C63</f>
        <v>0.9409</v>
      </c>
      <c s="161" r="D65">
        <f>D62*D63</f>
        <v>0.8649</v>
      </c>
      <c s="161" r="E65">
        <f>E62*E63</f>
        <v>0.64</v>
      </c>
      <c s="161" r="F65">
        <f>F62*F63</f>
        <v>0.9216</v>
      </c>
      <c s="161" r="G65">
        <f>G62*G63</f>
        <v>0</v>
      </c>
      <c s="91" r="H65">
        <f>H62*H63</f>
        <v>0.9604</v>
      </c>
      <c s="91" r="I65">
        <f>I62*I63</f>
        <v>0.9604</v>
      </c>
      <c s="11" r="J65">
        <f>J62*J63</f>
        <v>0.92236816</v>
      </c>
      <c s="87" r="K65"/>
    </row>
    <row r="66">
      <c t="s" s="114" r="A66">
        <v>100</v>
      </c>
      <c t="s" s="1" r="B66">
        <v>103</v>
      </c>
      <c t="s" s="1" r="C66">
        <v>104</v>
      </c>
      <c t="s" s="1" r="D66">
        <v>105</v>
      </c>
      <c t="s" s="1" r="E66">
        <v>106</v>
      </c>
      <c t="s" s="1" r="F66">
        <v>107</v>
      </c>
      <c t="s" s="1" r="G66">
        <v>108</v>
      </c>
      <c t="s" s="1" r="H66">
        <v>109</v>
      </c>
      <c t="s" s="60" r="I66">
        <v>110</v>
      </c>
      <c t="s" s="170" r="J66">
        <v>111</v>
      </c>
      <c s="87" r="K66"/>
    </row>
    <row r="67">
      <c t="s" s="50" r="A67">
        <v>29</v>
      </c>
      <c s="136" r="B67">
        <v>0.98</v>
      </c>
      <c s="34" r="C67">
        <v>0.97</v>
      </c>
      <c s="34" r="D67">
        <v>0.96</v>
      </c>
      <c s="34" r="E67">
        <v>0.85</v>
      </c>
      <c s="34" r="F67">
        <v>0.97</v>
      </c>
      <c s="34" r="G67"/>
      <c s="150" r="H67">
        <v>0.99</v>
      </c>
      <c s="150" r="I67">
        <v>0.99</v>
      </c>
      <c s="124" r="J67">
        <f>H67*H67</f>
        <v>0.9801</v>
      </c>
      <c s="87" r="K67"/>
    </row>
    <row r="68">
      <c t="s" s="50" r="A68">
        <v>24</v>
      </c>
      <c s="136" r="B68">
        <v>0.98</v>
      </c>
      <c s="34" r="C68">
        <v>0.97</v>
      </c>
      <c s="34" r="D68">
        <v>0.96</v>
      </c>
      <c s="34" r="E68">
        <v>0.85</v>
      </c>
      <c s="34" r="F68">
        <v>0.97</v>
      </c>
      <c s="34" r="G68"/>
      <c s="150" r="H68">
        <v>0.99</v>
      </c>
      <c s="150" r="I68">
        <v>0.99</v>
      </c>
      <c s="124" r="J68">
        <f>H68*H68</f>
        <v>0.9801</v>
      </c>
      <c s="87" r="K68"/>
    </row>
    <row r="69">
      <c t="s" s="50" r="A69">
        <v>33</v>
      </c>
      <c s="136" r="B69">
        <v>0.98</v>
      </c>
      <c s="34" r="C69">
        <v>0.97</v>
      </c>
      <c s="34" r="D69">
        <v>0.96</v>
      </c>
      <c s="34" r="E69">
        <v>0.85</v>
      </c>
      <c s="34" r="F69">
        <v>0.97</v>
      </c>
      <c s="34" r="G69"/>
      <c s="150" r="H69">
        <v>0.985</v>
      </c>
      <c s="150" r="I69">
        <v>0.985</v>
      </c>
      <c s="124" r="J69">
        <f>H69*H69</f>
        <v>0.970225</v>
      </c>
      <c s="87" r="K69"/>
    </row>
    <row r="70">
      <c t="s" s="50" r="A70">
        <v>36</v>
      </c>
      <c s="136" r="B70">
        <v>0.99</v>
      </c>
      <c s="34" r="C70">
        <v>0.98</v>
      </c>
      <c s="34" r="D70">
        <v>0.96</v>
      </c>
      <c s="34" r="E70">
        <v>0.94</v>
      </c>
      <c s="34" r="F70">
        <v>0.99</v>
      </c>
      <c s="34" r="G70"/>
      <c s="150" r="H70">
        <v>0.995</v>
      </c>
      <c s="150" r="I70">
        <v>0.995</v>
      </c>
      <c s="124" r="J70">
        <f>H70*H70</f>
        <v>0.990025</v>
      </c>
      <c s="87" r="K70"/>
    </row>
    <row r="71">
      <c t="s" s="50" r="A71">
        <v>35</v>
      </c>
      <c s="136" r="B71">
        <v>0.98</v>
      </c>
      <c s="34" r="C71">
        <v>0.97</v>
      </c>
      <c s="34" r="D71">
        <v>0.96</v>
      </c>
      <c s="34" r="E71">
        <v>0.92</v>
      </c>
      <c s="34" r="F71">
        <v>0.98</v>
      </c>
      <c s="34" r="G71"/>
      <c s="150" r="H71">
        <v>0.9925</v>
      </c>
      <c s="150" r="I71">
        <v>0.9925</v>
      </c>
      <c s="124" r="J71">
        <f>H71*H71</f>
        <v>0.98505625</v>
      </c>
      <c s="87" r="K71"/>
    </row>
    <row r="72">
      <c t="s" s="50" r="A72">
        <v>27</v>
      </c>
      <c s="136" r="B72">
        <v>0.98</v>
      </c>
      <c s="34" r="C72">
        <v>0.97</v>
      </c>
      <c s="34" r="D72">
        <v>0.96</v>
      </c>
      <c s="34" r="E72">
        <v>0.85</v>
      </c>
      <c s="34" r="F72">
        <v>0.97</v>
      </c>
      <c s="34" r="G72"/>
      <c s="150" r="H72">
        <v>0.985</v>
      </c>
      <c s="150" r="I72">
        <v>0.985</v>
      </c>
      <c s="124" r="J72">
        <f>H72*H72</f>
        <v>0.970225</v>
      </c>
      <c s="87" r="K72"/>
    </row>
    <row r="73">
      <c t="s" s="50" r="A73">
        <v>30</v>
      </c>
      <c s="136" r="B73">
        <v>0.99</v>
      </c>
      <c s="34" r="C73">
        <v>0.98</v>
      </c>
      <c s="34" r="D73">
        <v>0.96</v>
      </c>
      <c s="34" r="E73">
        <v>0.94</v>
      </c>
      <c s="34" r="F73">
        <v>0.99</v>
      </c>
      <c s="34" r="G73"/>
      <c s="150" r="H73">
        <v>0.995</v>
      </c>
      <c s="150" r="I73">
        <v>0.995</v>
      </c>
      <c s="124" r="J73">
        <f>H73*H73</f>
        <v>0.990025</v>
      </c>
      <c s="87" r="K73"/>
    </row>
    <row r="74">
      <c t="s" s="50" r="A74">
        <v>31</v>
      </c>
      <c s="136" r="B74">
        <v>0.98</v>
      </c>
      <c s="34" r="C74">
        <v>0.97</v>
      </c>
      <c s="34" r="D74">
        <v>0.96</v>
      </c>
      <c s="34" r="E74">
        <v>0.92</v>
      </c>
      <c s="34" r="F74">
        <v>0.98</v>
      </c>
      <c s="34" r="G74"/>
      <c s="150" r="H74">
        <v>0.9925</v>
      </c>
      <c s="150" r="I74">
        <v>0.9925</v>
      </c>
      <c s="124" r="J74">
        <f>H74*H74</f>
        <v>0.98505625</v>
      </c>
      <c s="87" r="K74"/>
    </row>
    <row r="75">
      <c t="s" s="130" r="A75">
        <v>114</v>
      </c>
      <c s="161" r="B75">
        <f>AVERAGE(B67:B74)</f>
        <v>0.9825</v>
      </c>
      <c s="161" r="C75">
        <f>AVERAGE(C67:C74)</f>
        <v>0.9725</v>
      </c>
      <c s="161" r="D75">
        <f>AVERAGE(D67:D74)</f>
        <v>0.96</v>
      </c>
      <c s="161" r="E75">
        <f>AVERAGE(E67:E74)</f>
        <v>0.89</v>
      </c>
      <c s="161" r="F75">
        <f>AVERAGE(F67:F74)</f>
        <v>0.9775</v>
      </c>
      <c t="str" s="161" r="G75">
        <f>AVERAGE(G67:G74)</f>
        <v>#DIV/0!:noData</v>
      </c>
      <c s="91" r="H75">
        <f>AVERAGE(H67:H74)</f>
        <v>0.990625</v>
      </c>
      <c s="91" r="I75">
        <f>AVERAGE(I67:I74)</f>
        <v>0.990625</v>
      </c>
      <c s="11" r="J75">
        <f>AVERAGE(J67:J74)</f>
        <v>0.9813515625</v>
      </c>
      <c s="87" r="K75"/>
    </row>
    <row r="76">
      <c t="s" s="162" r="A76">
        <v>115</v>
      </c>
      <c s="161" r="B76">
        <f>((((((B67*B68)*B69)*B70)*B71)*B72)*B73)*B74</f>
        <v>0.868214117484806</v>
      </c>
      <c s="161" r="C76">
        <f>((((((C67*C68)*C69)*C70)*C71)*C72)*C73)*C74</f>
        <v>0.799986313533812</v>
      </c>
      <c s="161" r="D76">
        <f>((((((D67*D68)*D69)*D70)*D71)*D72)*D73)*D74</f>
        <v>0.721389578983834</v>
      </c>
      <c s="161" r="E76">
        <f>((((((E67*E68)*E69)*E70)*E71)*E72)*E73)*E74</f>
        <v>0.390397533124</v>
      </c>
      <c s="161" r="F76">
        <f>((((((F67*F68)*F69)*F70)*F71)*F72)*F73)*F74</f>
        <v>0.833315533950992</v>
      </c>
      <c s="161" r="G76">
        <f>((((((G67*G68)*G69)*G70)*G71)*G72)*G73)*G74</f>
        <v>0</v>
      </c>
      <c s="91" r="H76">
        <f>((((((H67*H68)*H69)*H70)*H71)*H72)*H73)*H74</f>
        <v>0.927363593966629</v>
      </c>
      <c s="91" r="I76">
        <f>((((((I67*I68)*I69)*I70)*I71)*I72)*I73)*I74</f>
        <v>0.927363593966629</v>
      </c>
      <c s="11" r="J76">
        <f>((((((J67*J68)*J69)*J70)*J71)*J72)*J73)*J74</f>
        <v>0.860003235414702</v>
      </c>
      <c s="87" r="K76"/>
    </row>
    <row s="81" customFormat="1" r="77">
      <c t="s" s="69" r="A77">
        <v>116</v>
      </c>
      <c s="99" r="B77">
        <f>((((B22*B31)*B46)*B60)*B65)*B76</f>
        <v>0.527604606083462</v>
      </c>
      <c s="99" r="C77">
        <f>((((C22*C31)*C46)*C60)*C65)*C76</f>
        <v>0.198854928216344</v>
      </c>
      <c s="99" r="D77">
        <f>((((D22*D31)*D46)*D60)*D65)*D76</f>
        <v>0.029608717795548</v>
      </c>
      <c s="99" r="E77">
        <f>((((E22*E31)*E46)*E60)*E65)*E76</f>
        <v>0.000271195150189</v>
      </c>
      <c s="99" r="F77">
        <f>((((F22*F31)*F46)*F60)*F65)*F76</f>
        <v>0.23121266076019</v>
      </c>
      <c s="99" r="G77">
        <f>((((G22*G31)*G46)*G60)*G65)*G76</f>
        <v>0</v>
      </c>
      <c s="108" r="H77">
        <f>((((H22*H31)*H46)*H60)*H65)*H76</f>
        <v>0.584478799113239</v>
      </c>
      <c s="108" r="I77">
        <f>((((I22*I31)*I46)*I60)*I65)*I76</f>
        <v>0.584478799113239</v>
      </c>
      <c s="97" r="J77">
        <f>((((J22*J31)*J46)*J60)*J65)*J76</f>
        <v>0.341615466612854</v>
      </c>
      <c s="87" r="K77"/>
    </row>
    <row s="81" customFormat="1" r="78">
      <c s="80" r="A78"/>
      <c s="164" r="B78"/>
      <c s="164" r="C78"/>
      <c s="168" r="D78"/>
      <c s="168" r="E78"/>
      <c s="168" r="F78"/>
      <c s="168" r="G78"/>
      <c s="102" r="H78"/>
      <c s="102" r="I78"/>
      <c s="168" r="J78"/>
    </row>
    <row r="79">
      <c t="s" s="134" r="A79">
        <v>54</v>
      </c>
      <c s="33" r="B79"/>
      <c s="95" r="C79"/>
      <c s="83" r="D79"/>
      <c s="113" r="E79"/>
      <c s="113" r="F79"/>
      <c s="113" r="G79"/>
      <c s="40" r="H79"/>
      <c s="40" r="I79"/>
      <c s="113" r="J79"/>
    </row>
    <row customHeight="1" s="81" customFormat="1" r="80" ht="37.5">
      <c t="s" s="84" r="A80">
        <v>57</v>
      </c>
      <c t="s" s="152" r="B80">
        <v>58</v>
      </c>
      <c t="s" s="170" r="C80">
        <v>59</v>
      </c>
      <c s="83" r="D80"/>
      <c s="113" r="E80"/>
      <c s="113" r="F80"/>
      <c s="113" r="G80"/>
      <c s="40" r="H80"/>
      <c s="40" r="I80"/>
      <c s="113" r="J80"/>
    </row>
    <row r="81">
      <c t="s" s="50" r="A81">
        <v>60</v>
      </c>
      <c t="s" s="131" r="B81">
        <v>61</v>
      </c>
      <c s="155" r="C81">
        <v>10</v>
      </c>
      <c s="83" r="D81"/>
      <c s="113" r="E81"/>
      <c s="113" r="F81"/>
      <c s="113" r="G81"/>
      <c s="40" r="H81"/>
      <c s="40" r="I81"/>
      <c s="113" r="J81"/>
    </row>
    <row r="82">
      <c t="s" s="50" r="A82">
        <v>63</v>
      </c>
      <c t="s" s="131" r="B82">
        <v>64</v>
      </c>
      <c s="155" r="C82">
        <v>35</v>
      </c>
      <c s="83" r="D82"/>
      <c s="113" r="E82"/>
      <c s="113" r="F82"/>
      <c s="113" r="G82"/>
      <c s="40" r="H82"/>
      <c s="40" r="I82"/>
      <c s="113" r="J82"/>
    </row>
    <row r="83">
      <c t="s" s="50" r="A83">
        <v>66</v>
      </c>
      <c t="s" s="131" r="B83">
        <v>67</v>
      </c>
      <c s="155" r="C83">
        <v>100</v>
      </c>
      <c s="83" r="D83"/>
      <c s="113" r="E83"/>
      <c s="113" r="F83"/>
      <c s="113" r="G83"/>
      <c s="40" r="H83"/>
      <c s="40" r="I83"/>
      <c s="113" r="J83"/>
    </row>
    <row r="84">
      <c t="s" s="50" r="A84">
        <v>69</v>
      </c>
      <c t="s" s="131" r="B84">
        <v>70</v>
      </c>
      <c s="155" r="C84">
        <v>180</v>
      </c>
      <c s="83" r="D84"/>
      <c s="113" r="E84"/>
      <c s="113" r="F84"/>
      <c s="113" r="G84"/>
      <c s="40" r="H84"/>
      <c s="40" r="I84"/>
      <c s="113" r="J84"/>
    </row>
    <row r="85">
      <c t="s" s="50" r="A85">
        <v>72</v>
      </c>
      <c t="s" s="131" r="B85">
        <v>73</v>
      </c>
      <c s="155" r="C85">
        <v>1</v>
      </c>
      <c s="83" r="D85"/>
      <c s="113" r="E85"/>
      <c s="113" r="F85"/>
      <c s="113" r="G85"/>
      <c s="40" r="H85"/>
      <c s="40" r="I85"/>
      <c s="113" r="J85"/>
    </row>
    <row r="86">
      <c t="s" s="50" r="A86">
        <v>75</v>
      </c>
      <c t="s" s="131" r="B86">
        <v>76</v>
      </c>
      <c s="155" r="C86">
        <v>1</v>
      </c>
      <c s="83" r="D86"/>
      <c s="113" r="E86"/>
      <c s="113" r="F86"/>
      <c s="113" r="G86"/>
      <c s="40" r="H86"/>
      <c s="40" r="I86"/>
      <c s="113" r="J86"/>
    </row>
    <row r="87">
      <c t="s" s="50" r="A87">
        <v>78</v>
      </c>
      <c s="131" r="B87"/>
      <c s="155" r="C87">
        <v>1</v>
      </c>
      <c s="83" r="D87"/>
      <c s="113" r="E87"/>
      <c s="113" r="F87"/>
      <c s="113" r="G87"/>
      <c s="40" r="H87"/>
      <c s="40" r="I87"/>
      <c s="113" r="J87"/>
    </row>
    <row r="88">
      <c t="s" s="50" r="A88">
        <v>79</v>
      </c>
      <c s="131" r="B88"/>
      <c s="155" r="C88">
        <v>5</v>
      </c>
      <c s="83" r="D88"/>
      <c s="113" r="E88"/>
      <c s="113" r="F88"/>
      <c s="113" r="G88"/>
      <c s="40" r="H88"/>
      <c s="40" r="I88"/>
      <c s="113" r="J88"/>
    </row>
    <row s="81" customFormat="1" r="89">
      <c t="s" s="90" r="A89">
        <v>81</v>
      </c>
      <c s="158" r="B89"/>
      <c s="58" r="C89">
        <v>1</v>
      </c>
      <c s="83" r="D89"/>
      <c s="113" r="E89"/>
      <c s="113" r="F89"/>
      <c s="113" r="G89"/>
      <c s="40" r="H89"/>
      <c s="40" r="I89"/>
      <c s="113" r="J89"/>
    </row>
    <row s="81" customFormat="1" r="90">
      <c s="160" r="A90"/>
      <c s="164" r="B90"/>
      <c s="164" r="C90"/>
      <c s="86" r="D90"/>
      <c s="86" r="E90"/>
      <c s="86" r="F90"/>
      <c s="86" r="G90"/>
      <c s="17" r="H90"/>
      <c s="17" r="I90"/>
      <c s="86" r="J90"/>
    </row>
    <row customHeight="1" s="81" customFormat="1" r="91" ht="13.5">
      <c s="63" r="A91"/>
      <c t="s" s="44" r="B91">
        <v>117</v>
      </c>
      <c s="107" r="C91"/>
      <c s="107" r="D91"/>
      <c s="107" r="E91"/>
      <c s="107" r="F91"/>
      <c s="107" r="G91"/>
      <c s="107" r="H91"/>
      <c s="107" r="I91"/>
      <c s="55" r="J91"/>
      <c s="94" r="K91"/>
    </row>
    <row r="92">
      <c t="s" s="117" r="A92">
        <v>102</v>
      </c>
      <c t="s" s="10" r="B92">
        <v>103</v>
      </c>
      <c t="s" s="10" r="C92">
        <v>104</v>
      </c>
      <c t="s" s="10" r="D92">
        <v>105</v>
      </c>
      <c t="s" s="10" r="E92">
        <v>106</v>
      </c>
      <c t="s" s="10" r="F92">
        <v>107</v>
      </c>
      <c t="s" s="10" r="G92">
        <v>108</v>
      </c>
      <c t="s" s="10" r="H92">
        <v>109</v>
      </c>
      <c t="s" s="10" r="I92">
        <v>110</v>
      </c>
      <c t="s" s="12" r="J92">
        <v>111</v>
      </c>
      <c s="94" r="K92"/>
    </row>
    <row r="93">
      <c t="s" s="74" r="A93">
        <v>112</v>
      </c>
      <c s="146" r="B93">
        <f>(((((SUM(B97:B109)+SUM(B113:B118))+SUM(B122:B133))+SUM(B137:B147))+SUM(B151:B152))+SUM(B156:B163))/52.0</f>
        <v>1.05</v>
      </c>
      <c s="146" r="C93">
        <f>(((((SUM(C97:C109)+SUM(C113:C118))+SUM(C122:C133))+SUM(C137:C147))+SUM(C151:C152))+SUM(C156:C163))/52.0</f>
        <v>1</v>
      </c>
      <c s="146" r="D93">
        <f>(((((SUM(D97:D109)+SUM(D113:D118))+SUM(D122:D133))+SUM(D137:D147))+SUM(D151:D152))+SUM(D156:D163))/52.0</f>
        <v>1</v>
      </c>
      <c s="146" r="E93">
        <f>(((((SUM(E97:E109)+SUM(E113:E118))+SUM(E122:E133))+SUM(E137:E147))+SUM(E151:E152))+SUM(E156:E163))/52.0</f>
        <v>1</v>
      </c>
      <c s="146" r="F93">
        <f>(((((SUM(F97:F109)+SUM(F113:F118))+SUM(F122:F133))+SUM(F137:F147))+SUM(F151:F152))+SUM(F156:F163))/52.0</f>
        <v>0.576923076923077</v>
      </c>
      <c s="146" r="G93">
        <f>(((((SUM(G97:G109)+SUM(G113:G118))+SUM(G122:G133))+SUM(G137:G147))+SUM(G151:G152))+SUM(G156:G163))/52.0</f>
        <v>21.25</v>
      </c>
      <c s="146" r="H93">
        <f>(((((SUM(H97:H109)+SUM(H113:H118))+SUM(H122:H133))+SUM(H137:H147))+SUM(H151:H152))+SUM(H156:H163))/52.0</f>
        <v>0</v>
      </c>
      <c s="146" r="I93">
        <f>(((((SUM(I97:I109)+SUM(I113:I118))+SUM(I122:I133))+SUM(I137:I147))+SUM(I151:I152))+SUM(I156:I163))/52.0</f>
        <v>0.984615384615385</v>
      </c>
      <c s="146" r="J93">
        <f>(((((SUM(J97:J109)+SUM(J113:J118))+SUM(J122:J133))+SUM(J137:J147))+SUM(J151:J152))+SUM(J156:J163))/52.0</f>
        <v>0</v>
      </c>
      <c s="57" r="K93"/>
    </row>
    <row s="81" customFormat="1" r="94">
      <c s="15" r="A94"/>
      <c s="15" r="B94"/>
      <c s="110" r="C94"/>
      <c s="110" r="D94"/>
      <c s="110" r="E94"/>
      <c s="110" r="F94"/>
      <c s="110" r="G94"/>
      <c s="110" r="H94"/>
      <c s="110" r="I94"/>
      <c s="110" r="J94"/>
      <c s="81" r="K94"/>
    </row>
    <row s="81" customFormat="1" r="95">
      <c t="s" s="115" r="A95">
        <v>118</v>
      </c>
      <c s="33" r="B95"/>
      <c s="33" r="C95"/>
      <c s="33" r="D95"/>
      <c s="33" r="E95"/>
      <c s="33" r="F95"/>
      <c s="33" r="G95"/>
      <c s="33" r="H95"/>
      <c s="33" r="I95"/>
      <c s="95" r="J95"/>
      <c s="94" r="K95"/>
    </row>
    <row r="96">
      <c t="s" s="121" r="A96">
        <v>89</v>
      </c>
      <c t="s" s="1" r="B96">
        <v>103</v>
      </c>
      <c t="s" s="1" r="C96">
        <v>104</v>
      </c>
      <c t="s" s="1" r="D96">
        <v>105</v>
      </c>
      <c t="s" s="1" r="E96">
        <v>106</v>
      </c>
      <c t="s" s="1" r="F96">
        <v>107</v>
      </c>
      <c t="s" s="1" r="G96">
        <v>108</v>
      </c>
      <c t="s" s="1" r="H96">
        <v>109</v>
      </c>
      <c t="s" s="1" r="I96">
        <v>110</v>
      </c>
      <c t="s" s="170" r="J96">
        <v>111</v>
      </c>
      <c s="94" r="K96"/>
    </row>
    <row r="97">
      <c t="s" s="50" r="A97">
        <v>2</v>
      </c>
      <c s="146" r="B97">
        <v>3</v>
      </c>
      <c s="146" r="C97">
        <v>1</v>
      </c>
      <c s="146" r="D97">
        <v>1</v>
      </c>
      <c s="146" r="E97">
        <v>1</v>
      </c>
      <c s="146" r="F97">
        <v>0</v>
      </c>
      <c s="146" r="G97">
        <v>400</v>
      </c>
      <c s="146" r="H97">
        <v>0</v>
      </c>
      <c s="146" r="I97">
        <v>1</v>
      </c>
      <c s="20" r="J97">
        <v>0</v>
      </c>
      <c s="94" r="K97"/>
    </row>
    <row r="98">
      <c t="s" s="50" r="A98">
        <v>48</v>
      </c>
      <c s="146" r="B98">
        <v>2</v>
      </c>
      <c s="146" r="C98">
        <v>1</v>
      </c>
      <c s="146" r="D98">
        <v>1</v>
      </c>
      <c s="146" r="E98">
        <v>1</v>
      </c>
      <c s="146" r="F98">
        <v>0</v>
      </c>
      <c s="146" r="G98">
        <v>450</v>
      </c>
      <c s="146" r="H98">
        <v>0</v>
      </c>
      <c s="146" r="I98">
        <v>1</v>
      </c>
      <c s="20" r="J98">
        <v>0</v>
      </c>
      <c s="94" r="K98"/>
    </row>
    <row r="99">
      <c t="s" s="50" r="A99">
        <v>49</v>
      </c>
      <c s="146" r="B99">
        <v>1</v>
      </c>
      <c s="146" r="C99">
        <v>1</v>
      </c>
      <c s="146" r="D99">
        <v>1</v>
      </c>
      <c s="146" r="E99">
        <v>1</v>
      </c>
      <c s="146" r="F99">
        <v>0</v>
      </c>
      <c s="146" r="G99">
        <v>0</v>
      </c>
      <c s="146" r="H99">
        <v>0</v>
      </c>
      <c s="146" r="I99">
        <v>1</v>
      </c>
      <c s="20" r="J99">
        <v>0</v>
      </c>
      <c s="94" r="K99"/>
    </row>
    <row r="100">
      <c t="s" s="50" r="A100">
        <v>12</v>
      </c>
      <c s="146" r="B100">
        <v>0.2</v>
      </c>
      <c s="146" r="C100">
        <v>1</v>
      </c>
      <c s="146" r="D100">
        <v>1</v>
      </c>
      <c s="146" r="E100">
        <v>1</v>
      </c>
      <c s="146" r="F100">
        <v>0</v>
      </c>
      <c s="146" r="G100">
        <v>0</v>
      </c>
      <c s="146" r="H100">
        <v>0</v>
      </c>
      <c s="146" r="I100">
        <v>1</v>
      </c>
      <c s="20" r="J100">
        <v>0</v>
      </c>
      <c s="94" r="K100"/>
    </row>
    <row r="101">
      <c t="s" s="50" r="A101">
        <v>7</v>
      </c>
      <c s="146" r="B101">
        <v>1.5</v>
      </c>
      <c s="146" r="C101">
        <v>1</v>
      </c>
      <c s="146" r="D101">
        <v>1</v>
      </c>
      <c s="146" r="E101">
        <v>1</v>
      </c>
      <c s="146" r="F101">
        <v>0</v>
      </c>
      <c s="146" r="G101">
        <v>0</v>
      </c>
      <c s="146" r="H101">
        <v>0</v>
      </c>
      <c s="146" r="I101">
        <v>1</v>
      </c>
      <c s="20" r="J101">
        <v>0</v>
      </c>
      <c s="94" r="K101"/>
    </row>
    <row r="102">
      <c t="s" s="50" r="A102">
        <v>6</v>
      </c>
      <c s="146" r="B102">
        <v>2</v>
      </c>
      <c s="146" r="C102">
        <v>1</v>
      </c>
      <c s="146" r="D102">
        <v>1</v>
      </c>
      <c s="146" r="E102">
        <v>1</v>
      </c>
      <c s="146" r="F102">
        <v>0</v>
      </c>
      <c s="146" r="G102">
        <v>0</v>
      </c>
      <c s="146" r="H102">
        <v>0</v>
      </c>
      <c s="146" r="I102">
        <v>1</v>
      </c>
      <c s="20" r="J102">
        <v>0</v>
      </c>
      <c s="94" r="K102"/>
    </row>
    <row r="103">
      <c t="s" s="50" r="A103">
        <v>3</v>
      </c>
      <c s="146" r="B103">
        <v>1.5</v>
      </c>
      <c s="146" r="C103">
        <v>1</v>
      </c>
      <c s="146" r="D103">
        <v>1</v>
      </c>
      <c s="146" r="E103">
        <v>1</v>
      </c>
      <c s="146" r="F103">
        <v>0</v>
      </c>
      <c s="146" r="G103">
        <v>0</v>
      </c>
      <c s="146" r="H103">
        <v>0</v>
      </c>
      <c s="146" r="I103">
        <v>1</v>
      </c>
      <c s="20" r="J103">
        <v>0</v>
      </c>
      <c s="94" r="K103"/>
    </row>
    <row r="104">
      <c t="s" s="50" r="A104">
        <v>4</v>
      </c>
      <c s="146" r="B104">
        <v>2</v>
      </c>
      <c s="146" r="C104">
        <v>1</v>
      </c>
      <c s="146" r="D104">
        <v>1</v>
      </c>
      <c s="146" r="E104">
        <v>1</v>
      </c>
      <c s="146" r="F104">
        <v>0</v>
      </c>
      <c s="146" r="G104">
        <v>0</v>
      </c>
      <c s="146" r="H104">
        <v>0</v>
      </c>
      <c s="146" r="I104">
        <v>1</v>
      </c>
      <c s="20" r="J104">
        <v>0</v>
      </c>
      <c s="94" r="K104"/>
    </row>
    <row r="105">
      <c t="s" s="50" r="A105">
        <v>10</v>
      </c>
      <c s="146" r="B105">
        <v>1.3</v>
      </c>
      <c s="146" r="C105">
        <v>1</v>
      </c>
      <c s="146" r="D105">
        <v>1</v>
      </c>
      <c s="146" r="E105">
        <v>1</v>
      </c>
      <c s="146" r="F105">
        <v>10</v>
      </c>
      <c s="146" r="G105">
        <v>25</v>
      </c>
      <c s="146" r="H105">
        <v>0</v>
      </c>
      <c s="146" r="I105">
        <v>1</v>
      </c>
      <c s="20" r="J105">
        <v>0</v>
      </c>
      <c s="94" r="K105"/>
    </row>
    <row r="106">
      <c t="s" s="50" r="A106">
        <v>11</v>
      </c>
      <c s="146" r="B106">
        <v>1.1</v>
      </c>
      <c s="146" r="C106">
        <v>1</v>
      </c>
      <c s="146" r="D106">
        <v>1</v>
      </c>
      <c s="146" r="E106">
        <v>1</v>
      </c>
      <c s="146" r="F106">
        <v>0</v>
      </c>
      <c s="146" r="G106">
        <v>0</v>
      </c>
      <c s="146" r="H106">
        <v>0</v>
      </c>
      <c s="146" r="I106">
        <v>1</v>
      </c>
      <c s="20" r="J106">
        <v>0</v>
      </c>
      <c s="94" r="K106"/>
    </row>
    <row r="107">
      <c t="s" s="50" r="A107">
        <v>5</v>
      </c>
      <c s="146" r="B107">
        <v>1.3</v>
      </c>
      <c s="146" r="C107">
        <v>1</v>
      </c>
      <c s="146" r="D107">
        <v>1</v>
      </c>
      <c s="146" r="E107">
        <v>1</v>
      </c>
      <c s="146" r="F107">
        <v>20</v>
      </c>
      <c s="146" r="G107">
        <v>35</v>
      </c>
      <c s="146" r="H107">
        <v>0</v>
      </c>
      <c s="146" r="I107">
        <v>1</v>
      </c>
      <c s="20" r="J107">
        <v>0</v>
      </c>
      <c s="94" r="K107"/>
    </row>
    <row r="108">
      <c t="s" s="50" r="A108">
        <v>9</v>
      </c>
      <c s="146" r="B108">
        <v>1</v>
      </c>
      <c s="146" r="C108">
        <v>1</v>
      </c>
      <c s="146" r="D108">
        <v>1</v>
      </c>
      <c s="146" r="E108">
        <v>1</v>
      </c>
      <c s="146" r="F108">
        <v>0</v>
      </c>
      <c s="146" r="G108">
        <v>0</v>
      </c>
      <c s="146" r="H108">
        <v>0</v>
      </c>
      <c s="146" r="I108">
        <v>1</v>
      </c>
      <c s="20" r="J108">
        <v>0</v>
      </c>
      <c s="78" r="K108"/>
    </row>
    <row r="109">
      <c t="s" s="50" r="A109">
        <v>8</v>
      </c>
      <c s="146" r="B109">
        <v>1</v>
      </c>
      <c s="146" r="C109">
        <v>1</v>
      </c>
      <c s="146" r="D109">
        <v>1</v>
      </c>
      <c s="146" r="E109">
        <v>1</v>
      </c>
      <c s="146" r="F109">
        <v>0</v>
      </c>
      <c s="146" r="G109">
        <v>0</v>
      </c>
      <c s="146" r="H109">
        <v>0</v>
      </c>
      <c s="146" r="I109">
        <v>1</v>
      </c>
      <c s="20" r="J109">
        <v>0</v>
      </c>
      <c s="94" r="K109"/>
    </row>
    <row r="110">
      <c t="s" s="130" r="A110">
        <v>114</v>
      </c>
      <c s="161" r="B110">
        <f>AVERAGE(B97:B109)</f>
        <v>1.45384615384615</v>
      </c>
      <c s="161" r="C110">
        <f>AVERAGE(C97:C109)</f>
        <v>1</v>
      </c>
      <c s="161" r="D110">
        <f>AVERAGE(D97:D109)</f>
        <v>1</v>
      </c>
      <c s="161" r="E110">
        <f>AVERAGE(E97:E109)</f>
        <v>1</v>
      </c>
      <c s="161" r="F110">
        <f>AVERAGE(F97:F109)</f>
        <v>2.30769230769231</v>
      </c>
      <c s="161" r="G110">
        <f>AVERAGE(G97:G109)</f>
        <v>70</v>
      </c>
      <c s="161" r="H110">
        <f>AVERAGE(H97:H109)</f>
        <v>0</v>
      </c>
      <c s="161" r="I110">
        <f>AVERAGE(I97:I109)</f>
        <v>1</v>
      </c>
      <c s="11" r="J110">
        <f>AVERAGE(J97:J109)</f>
        <v>0</v>
      </c>
      <c s="94" r="K110"/>
    </row>
    <row r="111">
      <c t="s" s="162" r="A111">
        <v>115</v>
      </c>
      <c s="161" r="B111">
        <f>(((((((((((B97*B98)*B99)*B100)*B101)*B102)*B103)*B104)*B105)*B106)*B107)*B108)*B109</f>
        <v>20.0772</v>
      </c>
      <c s="161" r="C111">
        <f>(((((((((((C97*C98)*C99)*C100)*C101)*C102)*C103)*C104)*C105)*C106)*C107)*C108)*C109</f>
        <v>1</v>
      </c>
      <c s="161" r="D111">
        <f>(((((((((((D97*D98)*D99)*D100)*D101)*D102)*D103)*D104)*D105)*D106)*D107)*D108)*D109</f>
        <v>1</v>
      </c>
      <c s="161" r="E111">
        <f>(((((((((((E97*E98)*E99)*E100)*E101)*E102)*E103)*E104)*E105)*E106)*E107)*E108)*E109</f>
        <v>1</v>
      </c>
      <c s="161" r="F111">
        <f>(((((((((((F97*F98)*F99)*F100)*F101)*F102)*F103)*F104)*F105)*F106)*F107)*F108)*F109</f>
        <v>0</v>
      </c>
      <c s="161" r="G111">
        <f>(((((((((((G97*G98)*G99)*G100)*G101)*G102)*G103)*G104)*G105)*G106)*G107)*G108)*G109</f>
        <v>0</v>
      </c>
      <c s="161" r="H111">
        <f>(((((((((((H97*H98)*H99)*H100)*H101)*H102)*H103)*H104)*H105)*H106)*H107)*H108)*H109</f>
        <v>0</v>
      </c>
      <c s="161" r="I111">
        <f>(((((((((((I97*I98)*I99)*I100)*I101)*I102)*I103)*I104)*I105)*I106)*I107)*I108)*I109</f>
        <v>1</v>
      </c>
      <c s="11" r="J111">
        <f>(((((((((((J97*J98)*J99)*J100)*J101)*J102)*J103)*J104)*J105)*J106)*J107)*J108)*J109</f>
        <v>0</v>
      </c>
      <c s="94" r="K111"/>
    </row>
    <row r="112">
      <c t="s" s="114" r="A112">
        <v>96</v>
      </c>
      <c t="s" s="1" r="B112">
        <v>103</v>
      </c>
      <c t="s" s="1" r="C112">
        <v>104</v>
      </c>
      <c t="s" s="1" r="D112">
        <v>105</v>
      </c>
      <c t="s" s="1" r="E112">
        <v>106</v>
      </c>
      <c t="s" s="1" r="F112">
        <v>107</v>
      </c>
      <c t="s" s="1" r="G112">
        <v>108</v>
      </c>
      <c t="s" s="1" r="H112">
        <v>109</v>
      </c>
      <c t="s" s="1" r="I112">
        <v>110</v>
      </c>
      <c t="s" s="170" r="J112">
        <v>111</v>
      </c>
      <c s="94" r="K112"/>
    </row>
    <row r="113">
      <c t="s" s="50" r="A113">
        <v>18</v>
      </c>
      <c s="146" r="B113">
        <v>1</v>
      </c>
      <c s="146" r="C113">
        <v>1</v>
      </c>
      <c s="146" r="D113">
        <v>1</v>
      </c>
      <c s="146" r="E113">
        <v>1</v>
      </c>
      <c s="146" r="F113">
        <v>0</v>
      </c>
      <c s="146" r="G113">
        <v>0</v>
      </c>
      <c s="146" r="H113">
        <v>0</v>
      </c>
      <c s="146" r="I113">
        <v>1</v>
      </c>
      <c s="20" r="J113">
        <v>0</v>
      </c>
      <c s="94" r="K113"/>
    </row>
    <row r="114">
      <c t="s" s="50" r="A114">
        <v>26</v>
      </c>
      <c s="146" r="B114">
        <v>1</v>
      </c>
      <c s="146" r="C114">
        <v>1</v>
      </c>
      <c s="146" r="D114">
        <v>1</v>
      </c>
      <c s="146" r="E114">
        <v>1</v>
      </c>
      <c s="146" r="F114">
        <v>0</v>
      </c>
      <c s="146" r="G114">
        <v>0</v>
      </c>
      <c s="146" r="H114">
        <v>0</v>
      </c>
      <c s="146" r="I114">
        <v>1</v>
      </c>
      <c s="20" r="J114">
        <v>0</v>
      </c>
      <c s="94" r="K114"/>
    </row>
    <row r="115">
      <c t="s" s="50" r="A115">
        <v>23</v>
      </c>
      <c s="146" r="B115">
        <v>1</v>
      </c>
      <c s="146" r="C115">
        <v>1</v>
      </c>
      <c s="146" r="D115">
        <v>1</v>
      </c>
      <c s="146" r="E115">
        <v>1</v>
      </c>
      <c s="146" r="F115">
        <v>0</v>
      </c>
      <c s="146" r="G115">
        <v>0</v>
      </c>
      <c s="146" r="H115">
        <v>0</v>
      </c>
      <c s="146" r="I115">
        <v>1</v>
      </c>
      <c s="20" r="J115">
        <v>0</v>
      </c>
      <c s="94" r="K115"/>
    </row>
    <row r="116">
      <c t="s" s="50" r="A116">
        <v>13</v>
      </c>
      <c s="146" r="B116">
        <v>1</v>
      </c>
      <c s="146" r="C116">
        <v>1</v>
      </c>
      <c s="146" r="D116">
        <v>1</v>
      </c>
      <c s="146" r="E116">
        <v>1</v>
      </c>
      <c s="146" r="F116">
        <v>0</v>
      </c>
      <c s="146" r="G116">
        <v>0</v>
      </c>
      <c s="146" r="H116">
        <v>0</v>
      </c>
      <c s="146" r="I116">
        <v>1</v>
      </c>
      <c s="20" r="J116">
        <v>0</v>
      </c>
      <c s="94" r="K116"/>
    </row>
    <row r="117">
      <c t="s" s="50" r="A117">
        <v>19</v>
      </c>
      <c s="146" r="B117">
        <v>1</v>
      </c>
      <c s="146" r="C117">
        <v>1</v>
      </c>
      <c s="146" r="D117">
        <v>1</v>
      </c>
      <c s="146" r="E117">
        <v>1</v>
      </c>
      <c s="146" r="F117">
        <v>0</v>
      </c>
      <c s="146" r="G117">
        <v>0</v>
      </c>
      <c s="146" r="H117">
        <v>0</v>
      </c>
      <c s="146" r="I117">
        <v>1</v>
      </c>
      <c s="20" r="J117">
        <v>0</v>
      </c>
      <c s="94" r="K117"/>
    </row>
    <row r="118">
      <c t="s" s="50" r="A118">
        <v>16</v>
      </c>
      <c s="146" r="B118">
        <v>1</v>
      </c>
      <c s="146" r="C118">
        <v>1</v>
      </c>
      <c s="146" r="D118">
        <v>1</v>
      </c>
      <c s="146" r="E118">
        <v>1</v>
      </c>
      <c s="146" r="F118">
        <v>0</v>
      </c>
      <c s="146" r="G118">
        <v>0</v>
      </c>
      <c s="146" r="H118">
        <v>0</v>
      </c>
      <c s="146" r="I118">
        <v>1</v>
      </c>
      <c s="20" r="J118">
        <v>0</v>
      </c>
      <c s="94" r="K118"/>
    </row>
    <row r="119">
      <c t="s" s="130" r="A119">
        <v>114</v>
      </c>
      <c s="161" r="B119">
        <f>AVERAGE(B113:B118)</f>
        <v>1</v>
      </c>
      <c s="161" r="C119">
        <f>AVERAGE(C113:C118)</f>
        <v>1</v>
      </c>
      <c s="161" r="D119">
        <f>AVERAGE(D113:D118)</f>
        <v>1</v>
      </c>
      <c s="161" r="E119">
        <f>AVERAGE(E113:E118)</f>
        <v>1</v>
      </c>
      <c s="161" r="F119">
        <f>AVERAGE(F113:F118)</f>
        <v>0</v>
      </c>
      <c s="161" r="G119">
        <f>AVERAGE(G113:G118)</f>
        <v>0</v>
      </c>
      <c s="161" r="H119">
        <f>AVERAGE(H113:H118)</f>
        <v>0</v>
      </c>
      <c s="161" r="I119">
        <f>AVERAGE(I113:I118)</f>
        <v>1</v>
      </c>
      <c s="11" r="J119">
        <f>AVERAGE(J113:J118)</f>
        <v>0</v>
      </c>
      <c s="94" r="K119"/>
    </row>
    <row r="120">
      <c t="s" s="162" r="A120">
        <v>115</v>
      </c>
      <c s="161" r="B120">
        <f>((((B113*B114)*B115)*B116)*B117)*B118</f>
        <v>1</v>
      </c>
      <c s="161" r="C120">
        <f>((((C113*C114)*C115)*C116)*C117)*C118</f>
        <v>1</v>
      </c>
      <c s="161" r="D120">
        <f>((((D113*D114)*D115)*D116)*D117)*D118</f>
        <v>1</v>
      </c>
      <c s="161" r="E120">
        <f>((((E113*E114)*E115)*E116)*E117)*E118</f>
        <v>1</v>
      </c>
      <c s="161" r="F120">
        <f>((((F113*F114)*F115)*F116)*F117)*F118</f>
        <v>0</v>
      </c>
      <c s="161" r="G120">
        <f>((((G113*G114)*G115)*G116)*G117)*G118</f>
        <v>0</v>
      </c>
      <c s="161" r="H120">
        <f>((((H113*H114)*H115)*H116)*H117)*H118</f>
        <v>0</v>
      </c>
      <c s="161" r="I120">
        <f>((((I113*I114)*I115)*I116)*I117)*I118</f>
        <v>1</v>
      </c>
      <c s="11" r="J120">
        <f>((((J113*J114)*J115)*J116)*J117)*J118</f>
        <v>0</v>
      </c>
      <c s="78" r="K120"/>
    </row>
    <row r="121">
      <c t="s" s="114" r="A121">
        <v>97</v>
      </c>
      <c t="s" s="1" r="B121">
        <v>103</v>
      </c>
      <c t="s" s="1" r="C121">
        <v>104</v>
      </c>
      <c t="s" s="1" r="D121">
        <v>105</v>
      </c>
      <c t="s" s="1" r="E121">
        <v>106</v>
      </c>
      <c t="s" s="1" r="F121">
        <v>107</v>
      </c>
      <c t="s" s="1" r="G121">
        <v>108</v>
      </c>
      <c t="s" s="1" r="H121">
        <v>109</v>
      </c>
      <c t="s" s="1" r="I121">
        <v>110</v>
      </c>
      <c t="s" s="170" r="J121">
        <v>111</v>
      </c>
      <c s="94" r="K121"/>
    </row>
    <row r="122">
      <c t="s" s="50" r="A122">
        <v>47</v>
      </c>
      <c s="146" r="B122">
        <v>1</v>
      </c>
      <c s="146" r="C122">
        <v>1</v>
      </c>
      <c s="146" r="D122">
        <v>1</v>
      </c>
      <c s="146" r="E122">
        <v>1</v>
      </c>
      <c s="146" r="F122">
        <v>0</v>
      </c>
      <c s="146" r="G122">
        <v>0</v>
      </c>
      <c s="146" r="H122">
        <v>0</v>
      </c>
      <c s="146" r="I122">
        <v>1</v>
      </c>
      <c s="20" r="J122">
        <v>0</v>
      </c>
      <c s="94" r="K122"/>
    </row>
    <row r="123">
      <c t="s" s="50" r="A123">
        <v>22</v>
      </c>
      <c s="146" r="B123">
        <v>1.3</v>
      </c>
      <c s="146" r="C123">
        <v>1</v>
      </c>
      <c s="146" r="D123">
        <v>1</v>
      </c>
      <c s="146" r="E123">
        <v>1</v>
      </c>
      <c s="146" r="F123">
        <v>0</v>
      </c>
      <c s="146" r="G123">
        <v>0</v>
      </c>
      <c s="146" r="H123">
        <v>0</v>
      </c>
      <c s="146" r="I123">
        <v>1</v>
      </c>
      <c s="20" r="J123">
        <v>0</v>
      </c>
      <c s="94" r="K123"/>
    </row>
    <row r="124">
      <c t="s" s="50" r="A124">
        <v>20</v>
      </c>
      <c s="146" r="B124">
        <v>1.3</v>
      </c>
      <c s="146" r="C124">
        <v>1</v>
      </c>
      <c s="146" r="D124">
        <v>1</v>
      </c>
      <c s="146" r="E124">
        <v>1</v>
      </c>
      <c s="146" r="F124">
        <v>0</v>
      </c>
      <c s="146" r="G124">
        <v>0</v>
      </c>
      <c s="146" r="H124">
        <v>0</v>
      </c>
      <c s="146" r="I124">
        <v>1</v>
      </c>
      <c s="20" r="J124">
        <v>0</v>
      </c>
      <c s="94" r="K124"/>
    </row>
    <row r="125">
      <c t="s" s="50" r="A125">
        <v>28</v>
      </c>
      <c s="146" r="B125">
        <v>1</v>
      </c>
      <c s="146" r="C125">
        <v>1</v>
      </c>
      <c s="146" r="D125">
        <v>1</v>
      </c>
      <c s="146" r="E125">
        <v>1</v>
      </c>
      <c s="146" r="F125">
        <v>0</v>
      </c>
      <c s="146" r="G125">
        <v>65</v>
      </c>
      <c s="146" r="H125">
        <v>0</v>
      </c>
      <c s="146" r="I125">
        <v>1</v>
      </c>
      <c s="20" r="J125">
        <v>0</v>
      </c>
      <c s="94" r="K125"/>
    </row>
    <row r="126">
      <c t="s" s="50" r="A126">
        <v>37</v>
      </c>
      <c s="146" r="B126">
        <v>1</v>
      </c>
      <c s="146" r="C126">
        <v>1</v>
      </c>
      <c s="146" r="D126">
        <v>1</v>
      </c>
      <c s="146" r="E126">
        <v>1</v>
      </c>
      <c s="146" r="F126">
        <v>0</v>
      </c>
      <c s="146" r="G126">
        <v>0</v>
      </c>
      <c s="146" r="H126">
        <v>0</v>
      </c>
      <c s="146" r="I126">
        <v>1</v>
      </c>
      <c s="20" r="J126">
        <v>0</v>
      </c>
      <c s="94" r="K126"/>
    </row>
    <row r="127">
      <c t="s" s="50" r="A127">
        <v>25</v>
      </c>
      <c s="146" r="B127">
        <v>1</v>
      </c>
      <c s="146" r="C127">
        <v>1</v>
      </c>
      <c s="146" r="D127">
        <v>1</v>
      </c>
      <c s="146" r="E127">
        <v>1</v>
      </c>
      <c s="146" r="F127">
        <v>0</v>
      </c>
      <c s="146" r="G127">
        <v>45</v>
      </c>
      <c s="146" r="H127">
        <v>0</v>
      </c>
      <c s="146" r="I127">
        <v>1</v>
      </c>
      <c s="20" r="J127">
        <v>0</v>
      </c>
      <c s="94" r="K127"/>
    </row>
    <row r="128">
      <c t="s" s="50" r="A128">
        <v>17</v>
      </c>
      <c s="146" r="B128">
        <v>1</v>
      </c>
      <c s="146" r="C128">
        <v>1</v>
      </c>
      <c s="146" r="D128">
        <v>1</v>
      </c>
      <c s="146" r="E128">
        <v>1</v>
      </c>
      <c s="146" r="F128">
        <v>0</v>
      </c>
      <c s="146" r="G128">
        <v>30</v>
      </c>
      <c s="146" r="H128">
        <v>0</v>
      </c>
      <c s="146" r="I128">
        <v>1</v>
      </c>
      <c s="20" r="J128">
        <v>0</v>
      </c>
      <c s="94" r="K128"/>
    </row>
    <row r="129">
      <c t="s" s="50" r="A129">
        <v>15</v>
      </c>
      <c s="146" r="B129">
        <v>0.8</v>
      </c>
      <c s="146" r="C129">
        <v>1</v>
      </c>
      <c s="146" r="D129">
        <v>1</v>
      </c>
      <c s="146" r="E129">
        <v>1</v>
      </c>
      <c s="146" r="F129">
        <v>0</v>
      </c>
      <c s="146" r="G129">
        <v>0</v>
      </c>
      <c s="146" r="H129">
        <v>0</v>
      </c>
      <c s="146" r="I129">
        <v>1</v>
      </c>
      <c s="20" r="J129">
        <v>0</v>
      </c>
      <c s="94" r="K129"/>
    </row>
    <row r="130">
      <c t="s" s="50" r="A130">
        <v>14</v>
      </c>
      <c s="146" r="B130">
        <v>0.8</v>
      </c>
      <c s="146" r="C130">
        <v>1</v>
      </c>
      <c s="146" r="D130">
        <v>1</v>
      </c>
      <c s="146" r="E130">
        <v>1</v>
      </c>
      <c s="146" r="F130">
        <v>0</v>
      </c>
      <c s="146" r="G130">
        <v>0</v>
      </c>
      <c s="146" r="H130">
        <v>0</v>
      </c>
      <c s="146" r="I130">
        <v>1</v>
      </c>
      <c s="20" r="J130">
        <v>0</v>
      </c>
      <c s="94" r="K130"/>
    </row>
    <row r="131">
      <c t="s" s="50" r="A131">
        <v>21</v>
      </c>
      <c s="146" r="B131">
        <v>1</v>
      </c>
      <c s="146" r="C131">
        <v>1</v>
      </c>
      <c s="146" r="D131">
        <v>1</v>
      </c>
      <c s="146" r="E131">
        <v>1</v>
      </c>
      <c s="146" r="F131">
        <v>0</v>
      </c>
      <c s="146" r="G131">
        <v>25</v>
      </c>
      <c s="146" r="H131">
        <v>0</v>
      </c>
      <c s="146" r="I131">
        <v>1</v>
      </c>
      <c s="20" r="J131">
        <v>0</v>
      </c>
      <c s="94" r="K131"/>
    </row>
    <row r="132">
      <c t="s" s="50" r="A132">
        <v>32</v>
      </c>
      <c s="146" r="B132">
        <v>0.8</v>
      </c>
      <c s="146" r="C132">
        <v>1</v>
      </c>
      <c s="146" r="D132">
        <v>1</v>
      </c>
      <c s="146" r="E132">
        <v>1</v>
      </c>
      <c s="146" r="F132">
        <v>0</v>
      </c>
      <c s="146" r="G132">
        <v>30</v>
      </c>
      <c s="146" r="H132">
        <v>0</v>
      </c>
      <c s="146" r="I132">
        <v>1</v>
      </c>
      <c s="20" r="J132">
        <v>0</v>
      </c>
      <c s="94" r="K132"/>
    </row>
    <row r="133">
      <c t="s" s="50" r="A133">
        <v>34</v>
      </c>
      <c s="146" r="B133">
        <v>1.5</v>
      </c>
      <c s="146" r="C133">
        <v>1</v>
      </c>
      <c s="146" r="D133">
        <v>1</v>
      </c>
      <c s="146" r="E133">
        <v>1</v>
      </c>
      <c s="146" r="F133">
        <v>0</v>
      </c>
      <c s="146" r="G133">
        <v>0</v>
      </c>
      <c s="146" r="H133">
        <v>0</v>
      </c>
      <c s="146" r="I133">
        <v>1</v>
      </c>
      <c s="20" r="J133">
        <v>0</v>
      </c>
      <c s="94" r="K133"/>
    </row>
    <row r="134">
      <c t="s" s="130" r="A134">
        <v>114</v>
      </c>
      <c s="161" r="B134">
        <f>AVERAGE(B122:B133)</f>
        <v>1.04166666666667</v>
      </c>
      <c s="161" r="C134">
        <f>AVERAGE(C122:C133)</f>
        <v>1</v>
      </c>
      <c s="161" r="D134">
        <f>AVERAGE(D122:D133)</f>
        <v>1</v>
      </c>
      <c s="161" r="E134">
        <f>AVERAGE(E122:E133)</f>
        <v>1</v>
      </c>
      <c s="161" r="F134">
        <f>AVERAGE(F122:F133)</f>
        <v>0</v>
      </c>
      <c s="161" r="G134">
        <f>AVERAGE(G122:G133)</f>
        <v>16.25</v>
      </c>
      <c s="161" r="H134">
        <f>AVERAGE(H122:H133)</f>
        <v>0</v>
      </c>
      <c s="161" r="I134">
        <f>AVERAGE(I122:I133)</f>
        <v>1</v>
      </c>
      <c s="11" r="J134">
        <f>AVERAGE(J122:J133)</f>
        <v>0</v>
      </c>
      <c s="94" r="K134"/>
    </row>
    <row r="135">
      <c t="s" s="162" r="A135">
        <v>115</v>
      </c>
      <c s="161" r="B135">
        <f>((((((((((B122*B123)*B124)*B125)*B126)*B127)*B128)*B129)*B130)*B131)*B132)*B133</f>
        <v>1.29792</v>
      </c>
      <c s="161" r="C135">
        <f>((((((((((C122*C123)*C124)*C125)*C126)*C127)*C128)*C129)*C130)*C131)*C132)*C133</f>
        <v>1</v>
      </c>
      <c s="161" r="D135">
        <f>((((((((((D122*D123)*D124)*D125)*D126)*D127)*D128)*D129)*D130)*D131)*D132)*D133</f>
        <v>1</v>
      </c>
      <c s="161" r="E135">
        <f>((((((((((E122*E123)*E124)*E125)*E126)*E127)*E128)*E129)*E130)*E131)*E132)*E133</f>
        <v>1</v>
      </c>
      <c s="161" r="F135">
        <f>((((((((((F122*F123)*F124)*F125)*F126)*F127)*F128)*F129)*F130)*F131)*F132)*F133</f>
        <v>0</v>
      </c>
      <c s="161" r="G135">
        <f>((((((((((G122*G123)*G124)*G125)*G126)*G127)*G128)*G129)*G130)*G131)*G132)*G133</f>
        <v>0</v>
      </c>
      <c s="161" r="H135">
        <f>((((((((((H122*H123)*H124)*H125)*H126)*H127)*H128)*H129)*H130)*H131)*H132)*H133</f>
        <v>0</v>
      </c>
      <c s="161" r="I135">
        <f>((((((((((I122*I123)*I124)*I125)*I126)*I127)*I128)*I129)*I130)*I131)*I132)*I133</f>
        <v>1</v>
      </c>
      <c s="11" r="J135">
        <f>((((((((((J122*J123)*J124)*J125)*J126)*J127)*J128)*J129)*J130)*J131)*J132)*J133</f>
        <v>0</v>
      </c>
      <c s="94" r="K135"/>
    </row>
    <row r="136">
      <c t="s" s="114" r="A136">
        <v>98</v>
      </c>
      <c t="s" s="1" r="B136">
        <v>103</v>
      </c>
      <c t="s" s="1" r="C136">
        <v>104</v>
      </c>
      <c t="s" s="1" r="D136">
        <v>105</v>
      </c>
      <c t="s" s="1" r="E136">
        <v>106</v>
      </c>
      <c t="s" s="1" r="F136">
        <v>107</v>
      </c>
      <c t="s" s="1" r="G136">
        <v>108</v>
      </c>
      <c t="s" s="1" r="H136">
        <v>109</v>
      </c>
      <c t="s" s="1" r="I136">
        <v>110</v>
      </c>
      <c t="s" s="170" r="J136">
        <v>111</v>
      </c>
      <c s="94" r="K136"/>
    </row>
    <row r="137">
      <c t="s" s="50" r="A137">
        <v>38</v>
      </c>
      <c s="146" r="B137">
        <v>1</v>
      </c>
      <c s="146" r="C137">
        <v>1</v>
      </c>
      <c s="146" r="D137">
        <v>1</v>
      </c>
      <c s="146" r="E137">
        <v>1</v>
      </c>
      <c s="146" r="F137">
        <v>0</v>
      </c>
      <c s="146" r="G137">
        <v>0</v>
      </c>
      <c s="146" r="H137">
        <v>0</v>
      </c>
      <c s="146" r="I137">
        <v>1</v>
      </c>
      <c s="20" r="J137">
        <v>0</v>
      </c>
      <c s="94" r="K137"/>
    </row>
    <row r="138">
      <c t="s" s="50" r="A138">
        <v>40</v>
      </c>
      <c s="146" r="B138">
        <v>1.5</v>
      </c>
      <c s="146" r="C138">
        <v>1</v>
      </c>
      <c s="146" r="D138">
        <v>1</v>
      </c>
      <c s="146" r="E138">
        <v>1</v>
      </c>
      <c s="146" r="F138">
        <v>0</v>
      </c>
      <c s="146" r="G138">
        <v>0</v>
      </c>
      <c s="146" r="H138">
        <v>0</v>
      </c>
      <c s="146" r="I138">
        <v>1</v>
      </c>
      <c s="20" r="J138">
        <v>0</v>
      </c>
      <c s="78" r="K138"/>
    </row>
    <row r="139">
      <c t="s" s="50" r="A139">
        <v>44</v>
      </c>
      <c s="146" r="B139">
        <v>1</v>
      </c>
      <c s="146" r="C139">
        <v>1</v>
      </c>
      <c s="146" r="D139">
        <v>1</v>
      </c>
      <c s="146" r="E139">
        <v>1</v>
      </c>
      <c s="146" r="F139">
        <v>0</v>
      </c>
      <c s="146" r="G139">
        <v>0</v>
      </c>
      <c s="146" r="H139">
        <v>0</v>
      </c>
      <c s="146" r="I139">
        <v>1</v>
      </c>
      <c s="20" r="J139">
        <v>0</v>
      </c>
      <c s="94" r="K139"/>
    </row>
    <row r="140">
      <c t="s" s="50" r="A140">
        <v>50</v>
      </c>
      <c s="146" r="B140">
        <v>1.3</v>
      </c>
      <c s="146" r="C140">
        <v>1</v>
      </c>
      <c s="146" r="D140">
        <v>1</v>
      </c>
      <c s="146" r="E140">
        <v>1</v>
      </c>
      <c s="146" r="F140">
        <v>0</v>
      </c>
      <c s="146" r="G140">
        <v>0</v>
      </c>
      <c s="146" r="H140">
        <v>0</v>
      </c>
      <c s="146" r="I140">
        <v>1</v>
      </c>
      <c s="20" r="J140">
        <v>0</v>
      </c>
      <c s="94" r="K140"/>
    </row>
    <row r="141">
      <c t="s" s="50" r="A141">
        <v>52</v>
      </c>
      <c s="146" r="B141">
        <v>1</v>
      </c>
      <c s="146" r="C141">
        <v>1</v>
      </c>
      <c s="146" r="D141">
        <v>1</v>
      </c>
      <c s="146" r="E141">
        <v>1</v>
      </c>
      <c s="146" r="F141">
        <v>0</v>
      </c>
      <c s="146" r="G141">
        <v>0</v>
      </c>
      <c s="146" r="H141">
        <v>0</v>
      </c>
      <c s="146" r="I141">
        <v>1</v>
      </c>
      <c s="20" r="J141">
        <v>0</v>
      </c>
      <c s="94" r="K141"/>
    </row>
    <row r="142">
      <c t="s" s="50" r="A142">
        <v>42</v>
      </c>
      <c s="146" r="B142"/>
      <c s="146" r="C142">
        <v>1</v>
      </c>
      <c s="146" r="D142">
        <v>1</v>
      </c>
      <c s="146" r="E142">
        <v>1</v>
      </c>
      <c s="146" r="F142">
        <v>0</v>
      </c>
      <c s="146" r="G142">
        <v>0</v>
      </c>
      <c s="146" r="H142">
        <v>0</v>
      </c>
      <c s="146" r="I142">
        <v>1</v>
      </c>
      <c s="20" r="J142">
        <v>0</v>
      </c>
      <c s="94" r="K142"/>
    </row>
    <row r="143">
      <c t="s" s="50" r="A143">
        <v>39</v>
      </c>
      <c s="146" r="B143"/>
      <c s="146" r="C143">
        <v>1</v>
      </c>
      <c s="146" r="D143">
        <v>1</v>
      </c>
      <c s="146" r="E143">
        <v>1</v>
      </c>
      <c s="146" r="F143">
        <v>0</v>
      </c>
      <c s="146" r="G143">
        <v>0</v>
      </c>
      <c s="146" r="H143">
        <v>0</v>
      </c>
      <c s="146" r="I143">
        <v>1</v>
      </c>
      <c s="20" r="J143">
        <v>0</v>
      </c>
      <c s="94" r="K143"/>
    </row>
    <row r="144">
      <c t="s" s="50" r="A144">
        <v>43</v>
      </c>
      <c s="146" r="B144"/>
      <c s="146" r="C144">
        <v>1</v>
      </c>
      <c s="146" r="D144">
        <v>1</v>
      </c>
      <c s="146" r="E144">
        <v>1</v>
      </c>
      <c s="146" r="F144">
        <v>0</v>
      </c>
      <c s="146" r="G144">
        <v>0</v>
      </c>
      <c s="146" r="H144">
        <v>0</v>
      </c>
      <c s="146" r="I144">
        <v>1</v>
      </c>
      <c s="20" r="J144">
        <v>0</v>
      </c>
      <c s="94" r="K144"/>
    </row>
    <row r="145">
      <c t="s" s="50" r="A145">
        <v>51</v>
      </c>
      <c s="146" r="B145"/>
      <c s="146" r="C145">
        <v>1</v>
      </c>
      <c s="146" r="D145">
        <v>1</v>
      </c>
      <c s="146" r="E145">
        <v>1</v>
      </c>
      <c s="146" r="F145">
        <v>0</v>
      </c>
      <c s="146" r="G145">
        <v>0</v>
      </c>
      <c s="146" r="H145">
        <v>0</v>
      </c>
      <c s="146" r="I145">
        <v>1</v>
      </c>
      <c s="20" r="J145">
        <v>0</v>
      </c>
      <c s="94" r="K145"/>
    </row>
    <row r="146">
      <c t="s" s="50" r="A146">
        <v>53</v>
      </c>
      <c s="146" r="B146">
        <v>1</v>
      </c>
      <c s="146" r="C146">
        <v>1</v>
      </c>
      <c s="146" r="D146">
        <v>1</v>
      </c>
      <c s="146" r="E146">
        <v>1</v>
      </c>
      <c s="146" r="F146">
        <v>0</v>
      </c>
      <c s="146" r="G146">
        <v>0</v>
      </c>
      <c s="146" r="H146">
        <v>0</v>
      </c>
      <c s="146" r="I146">
        <v>1</v>
      </c>
      <c s="20" r="J146">
        <v>0</v>
      </c>
      <c s="94" r="K146"/>
    </row>
    <row r="147">
      <c t="s" s="50" r="A147">
        <v>41</v>
      </c>
      <c s="146" r="B147"/>
      <c s="146" r="C147">
        <v>1</v>
      </c>
      <c s="146" r="D147">
        <v>1</v>
      </c>
      <c s="146" r="E147">
        <v>1</v>
      </c>
      <c s="146" r="F147">
        <v>0</v>
      </c>
      <c s="146" r="G147">
        <v>0</v>
      </c>
      <c s="146" r="H147">
        <v>0</v>
      </c>
      <c s="146" r="I147">
        <v>1</v>
      </c>
      <c s="20" r="J147">
        <v>0</v>
      </c>
      <c s="94" r="K147"/>
    </row>
    <row r="148">
      <c t="s" s="130" r="A148">
        <v>114</v>
      </c>
      <c s="161" r="B148">
        <f>AVERAGE(B137:B147)</f>
        <v>1.13333333333333</v>
      </c>
      <c s="161" r="C148">
        <f>AVERAGE(C137:C147)</f>
        <v>1</v>
      </c>
      <c s="161" r="D148">
        <f>AVERAGE(D137:D147)</f>
        <v>1</v>
      </c>
      <c s="161" r="E148">
        <f>AVERAGE(E137:E147)</f>
        <v>1</v>
      </c>
      <c s="161" r="F148">
        <f>AVERAGE(F137:F147)</f>
        <v>0</v>
      </c>
      <c s="161" r="G148">
        <f>AVERAGE(G137:G147)</f>
        <v>0</v>
      </c>
      <c s="161" r="H148">
        <f>AVERAGE(H137:H147)</f>
        <v>0</v>
      </c>
      <c s="161" r="I148">
        <f>AVERAGE(I137:I147)</f>
        <v>1</v>
      </c>
      <c s="11" r="J148">
        <f>AVERAGE(J137:J147)</f>
        <v>0</v>
      </c>
      <c s="94" r="K148"/>
    </row>
    <row r="149">
      <c t="s" s="162" r="A149">
        <v>115</v>
      </c>
      <c s="161" r="B149">
        <f>(((((((((B137*B138)*B139)*B140)*B141)*B142)*B143)*B144)*B145)*B146)*B147</f>
        <v>0</v>
      </c>
      <c s="161" r="C149">
        <f>(((((((((C137*C138)*C139)*C140)*C141)*C142)*C143)*C144)*C145)*C146)*C147</f>
        <v>1</v>
      </c>
      <c s="161" r="D149">
        <f>(((((((((D137*D138)*D139)*D140)*D141)*D142)*D143)*D144)*D145)*D146)*D147</f>
        <v>1</v>
      </c>
      <c s="161" r="E149">
        <f>(((((((((E137*E138)*E139)*E140)*E141)*E142)*E143)*E144)*E145)*E146)*E147</f>
        <v>1</v>
      </c>
      <c s="161" r="F149">
        <f>(((((((((F137*F138)*F139)*F140)*F141)*F142)*F143)*F144)*F145)*F146)*F147</f>
        <v>0</v>
      </c>
      <c s="161" r="G149">
        <f>(((((((((G137*G138)*G139)*G140)*G141)*G142)*G143)*G144)*G145)*G146)*G147</f>
        <v>0</v>
      </c>
      <c s="161" r="H149">
        <f>(((((((((H137*H138)*H139)*H140)*H141)*H142)*H143)*H144)*H145)*H146)*H147</f>
        <v>0</v>
      </c>
      <c s="161" r="I149">
        <f>(((((((((I137*I138)*I139)*I140)*I141)*I142)*I143)*I144)*I145)*I146)*I147</f>
        <v>1</v>
      </c>
      <c s="11" r="J149">
        <f>(((((((((J137*J138)*J139)*J140)*J141)*J142)*J143)*J144)*J145)*J146)*J147</f>
        <v>0</v>
      </c>
      <c s="94" r="K149"/>
    </row>
    <row r="150">
      <c t="s" s="114" r="A150">
        <v>99</v>
      </c>
      <c t="s" s="1" r="B150">
        <v>103</v>
      </c>
      <c t="s" s="1" r="C150">
        <v>104</v>
      </c>
      <c t="s" s="1" r="D150">
        <v>105</v>
      </c>
      <c t="s" s="1" r="E150">
        <v>106</v>
      </c>
      <c t="s" s="1" r="F150">
        <v>107</v>
      </c>
      <c t="s" s="1" r="G150">
        <v>108</v>
      </c>
      <c t="s" s="1" r="H150">
        <v>109</v>
      </c>
      <c t="s" s="1" r="I150">
        <v>110</v>
      </c>
      <c t="s" s="170" r="J150">
        <v>111</v>
      </c>
      <c s="94" r="K150"/>
    </row>
    <row r="151">
      <c t="s" s="50" r="A151">
        <v>46</v>
      </c>
      <c s="146" r="B151">
        <v>1</v>
      </c>
      <c s="146" r="C151">
        <v>1</v>
      </c>
      <c s="146" r="D151">
        <v>1</v>
      </c>
      <c s="146" r="E151">
        <v>1</v>
      </c>
      <c s="146" r="F151">
        <v>0</v>
      </c>
      <c s="146" r="G151">
        <v>0</v>
      </c>
      <c s="146" r="H151">
        <v>0</v>
      </c>
      <c s="146" r="I151">
        <v>1</v>
      </c>
      <c s="20" r="J151">
        <v>0</v>
      </c>
      <c s="94" r="K151"/>
    </row>
    <row r="152">
      <c t="s" s="50" r="A152">
        <v>45</v>
      </c>
      <c s="146" r="B152">
        <v>1</v>
      </c>
      <c s="146" r="C152">
        <v>1</v>
      </c>
      <c s="146" r="D152">
        <v>1</v>
      </c>
      <c s="146" r="E152">
        <v>1</v>
      </c>
      <c s="146" r="F152">
        <v>0</v>
      </c>
      <c s="146" r="G152">
        <v>0</v>
      </c>
      <c s="146" r="H152">
        <v>0</v>
      </c>
      <c s="146" r="I152">
        <v>1</v>
      </c>
      <c s="20" r="J152">
        <v>0</v>
      </c>
      <c s="94" r="K152"/>
    </row>
    <row r="153">
      <c t="s" s="130" r="A153">
        <v>114</v>
      </c>
      <c s="161" r="B153">
        <f>AVERAGE(B151:B152)</f>
        <v>1</v>
      </c>
      <c s="161" r="C153">
        <f>AVERAGE(C151:C152)</f>
        <v>1</v>
      </c>
      <c s="161" r="D153">
        <f>AVERAGE(D151:D152)</f>
        <v>1</v>
      </c>
      <c s="161" r="E153">
        <f>AVERAGE(E151:E152)</f>
        <v>1</v>
      </c>
      <c s="161" r="F153">
        <f>AVERAGE(F151:F152)</f>
        <v>0</v>
      </c>
      <c s="161" r="G153">
        <f>AVERAGE(G151:G152)</f>
        <v>0</v>
      </c>
      <c s="161" r="H153">
        <f>AVERAGE(H151:H152)</f>
        <v>0</v>
      </c>
      <c s="161" r="I153">
        <f>AVERAGE(I151:I152)</f>
        <v>1</v>
      </c>
      <c s="11" r="J153">
        <f>AVERAGE(J151:J152)</f>
        <v>0</v>
      </c>
      <c s="94" r="K153"/>
    </row>
    <row r="154">
      <c t="s" s="162" r="A154">
        <v>115</v>
      </c>
      <c s="161" r="B154">
        <f>B151*B152</f>
        <v>1</v>
      </c>
      <c s="161" r="C154">
        <f>C151*C152</f>
        <v>1</v>
      </c>
      <c s="161" r="D154">
        <f>D151*D152</f>
        <v>1</v>
      </c>
      <c s="161" r="E154">
        <f>E151*E152</f>
        <v>1</v>
      </c>
      <c s="161" r="F154">
        <f>F151*F152</f>
        <v>0</v>
      </c>
      <c s="161" r="G154">
        <f>G151*G152</f>
        <v>0</v>
      </c>
      <c s="161" r="H154">
        <f>H151*H152</f>
        <v>0</v>
      </c>
      <c s="161" r="I154">
        <f>I151*I152</f>
        <v>1</v>
      </c>
      <c s="11" r="J154">
        <f>J151*J152</f>
        <v>0</v>
      </c>
      <c s="94" r="K154"/>
    </row>
    <row r="155">
      <c t="s" s="114" r="A155">
        <v>100</v>
      </c>
      <c t="s" s="1" r="B155">
        <v>103</v>
      </c>
      <c t="s" s="1" r="C155">
        <v>104</v>
      </c>
      <c t="s" s="1" r="D155">
        <v>105</v>
      </c>
      <c t="s" s="1" r="E155">
        <v>106</v>
      </c>
      <c t="s" s="1" r="F155">
        <v>107</v>
      </c>
      <c t="s" s="1" r="G155">
        <v>108</v>
      </c>
      <c t="s" s="1" r="H155">
        <v>109</v>
      </c>
      <c t="s" s="1" r="I155">
        <v>110</v>
      </c>
      <c t="s" s="170" r="J155">
        <v>111</v>
      </c>
      <c s="78" r="K155"/>
    </row>
    <row r="156">
      <c t="s" s="50" r="A156">
        <v>29</v>
      </c>
      <c s="146" r="B156">
        <v>1.4</v>
      </c>
      <c s="146" r="C156">
        <v>1</v>
      </c>
      <c s="146" r="D156">
        <v>1</v>
      </c>
      <c s="146" r="E156">
        <v>1</v>
      </c>
      <c s="146" r="F156">
        <v>0</v>
      </c>
      <c s="146" r="G156">
        <v>0</v>
      </c>
      <c s="146" r="H156">
        <v>0</v>
      </c>
      <c s="146" r="I156">
        <v>1</v>
      </c>
      <c s="20" r="J156">
        <v>0</v>
      </c>
      <c s="94" r="K156"/>
    </row>
    <row r="157">
      <c t="s" s="50" r="A157">
        <v>24</v>
      </c>
      <c s="146" r="B157">
        <v>1.4</v>
      </c>
      <c s="146" r="C157">
        <v>1</v>
      </c>
      <c s="146" r="D157">
        <v>1</v>
      </c>
      <c s="146" r="E157">
        <v>1</v>
      </c>
      <c s="146" r="F157">
        <v>0</v>
      </c>
      <c s="146" r="G157">
        <v>0</v>
      </c>
      <c s="146" r="H157">
        <v>0</v>
      </c>
      <c s="146" r="I157">
        <v>1</v>
      </c>
      <c s="20" r="J157">
        <v>0</v>
      </c>
      <c s="94" r="K157"/>
    </row>
    <row r="158">
      <c t="s" s="50" r="A158">
        <v>33</v>
      </c>
      <c s="146" r="B158">
        <v>1.8</v>
      </c>
      <c s="146" r="C158">
        <v>1</v>
      </c>
      <c s="146" r="D158">
        <v>1</v>
      </c>
      <c s="146" r="E158">
        <v>1</v>
      </c>
      <c s="146" r="F158">
        <v>0</v>
      </c>
      <c s="146" r="G158">
        <v>0</v>
      </c>
      <c s="146" r="H158">
        <v>0</v>
      </c>
      <c s="146" r="I158">
        <v>1</v>
      </c>
      <c s="20" r="J158">
        <v>0</v>
      </c>
      <c s="94" r="K158"/>
    </row>
    <row r="159">
      <c t="s" s="50" r="A159">
        <v>36</v>
      </c>
      <c s="146" r="B159">
        <v>0.5</v>
      </c>
      <c s="146" r="C159">
        <v>1</v>
      </c>
      <c s="146" r="D159">
        <v>1</v>
      </c>
      <c s="146" r="E159">
        <v>1</v>
      </c>
      <c s="146" r="F159">
        <v>0</v>
      </c>
      <c s="146" r="G159">
        <v>0</v>
      </c>
      <c s="146" r="H159">
        <v>0</v>
      </c>
      <c s="146" r="I159">
        <v>0.8</v>
      </c>
      <c s="20" r="J159">
        <v>0</v>
      </c>
      <c s="94" r="K159"/>
    </row>
    <row r="160">
      <c t="s" s="50" r="A160">
        <v>35</v>
      </c>
      <c s="146" r="B160">
        <v>0.5</v>
      </c>
      <c s="146" r="C160">
        <v>1</v>
      </c>
      <c s="146" r="D160">
        <v>1</v>
      </c>
      <c s="146" r="E160">
        <v>1</v>
      </c>
      <c s="146" r="F160">
        <v>0</v>
      </c>
      <c s="146" r="G160">
        <v>0</v>
      </c>
      <c s="146" r="H160">
        <v>0</v>
      </c>
      <c s="146" r="I160">
        <v>0.8</v>
      </c>
      <c s="20" r="J160">
        <v>0</v>
      </c>
      <c s="94" r="K160"/>
    </row>
    <row r="161">
      <c t="s" s="50" r="A161">
        <v>27</v>
      </c>
      <c s="146" r="B161">
        <v>1.8</v>
      </c>
      <c s="146" r="C161">
        <v>1</v>
      </c>
      <c s="146" r="D161">
        <v>1</v>
      </c>
      <c s="146" r="E161">
        <v>1</v>
      </c>
      <c s="146" r="F161">
        <v>0</v>
      </c>
      <c s="146" r="G161">
        <v>0</v>
      </c>
      <c s="146" r="H161">
        <v>0</v>
      </c>
      <c s="146" r="I161">
        <v>1</v>
      </c>
      <c s="20" r="J161">
        <v>0</v>
      </c>
      <c s="94" r="K161"/>
    </row>
    <row r="162">
      <c t="s" s="50" r="A162">
        <v>30</v>
      </c>
      <c s="146" r="B162">
        <v>0.5</v>
      </c>
      <c s="146" r="C162">
        <v>1</v>
      </c>
      <c s="146" r="D162">
        <v>1</v>
      </c>
      <c s="146" r="E162">
        <v>1</v>
      </c>
      <c s="146" r="F162">
        <v>0</v>
      </c>
      <c s="146" r="G162">
        <v>0</v>
      </c>
      <c s="146" r="H162">
        <v>0</v>
      </c>
      <c s="146" r="I162">
        <v>0.8</v>
      </c>
      <c s="20" r="J162">
        <v>0</v>
      </c>
      <c s="78" r="K162"/>
    </row>
    <row r="163">
      <c t="s" s="50" r="A163">
        <v>31</v>
      </c>
      <c s="146" r="B163">
        <v>0.5</v>
      </c>
      <c s="146" r="C163">
        <v>1</v>
      </c>
      <c s="146" r="D163">
        <v>1</v>
      </c>
      <c s="146" r="E163">
        <v>1</v>
      </c>
      <c s="146" r="F163">
        <v>0</v>
      </c>
      <c s="146" r="G163">
        <v>0</v>
      </c>
      <c s="146" r="H163">
        <v>0</v>
      </c>
      <c s="146" r="I163">
        <v>0.8</v>
      </c>
      <c s="20" r="J163">
        <v>0</v>
      </c>
      <c s="87" r="K163"/>
    </row>
    <row r="164">
      <c t="s" s="130" r="A164">
        <v>114</v>
      </c>
      <c s="161" r="B164">
        <f>AVERAGE(B156:B163)</f>
        <v>1.05</v>
      </c>
      <c s="161" r="C164">
        <f>AVERAGE(C156:C163)</f>
        <v>1</v>
      </c>
      <c s="161" r="D164">
        <f>AVERAGE(D156:D163)</f>
        <v>1</v>
      </c>
      <c s="161" r="E164">
        <f>AVERAGE(E156:E163)</f>
        <v>1</v>
      </c>
      <c s="161" r="F164">
        <f>AVERAGE(F156:F163)</f>
        <v>0</v>
      </c>
      <c s="161" r="G164">
        <f>AVERAGE(G156:G163)</f>
        <v>0</v>
      </c>
      <c s="161" r="H164">
        <f>AVERAGE(H156:H163)</f>
        <v>0</v>
      </c>
      <c s="161" r="I164">
        <f>AVERAGE(I156:I163)</f>
        <v>0.9</v>
      </c>
      <c s="11" r="J164">
        <f>AVERAGE(J156:J163)</f>
        <v>0</v>
      </c>
      <c s="87" r="K164"/>
    </row>
    <row r="165">
      <c t="s" s="162" r="A165">
        <v>115</v>
      </c>
      <c s="161" r="B165">
        <f>((((((B156*B157)*B158)*B159)*B160)*B161)*B162)*B163</f>
        <v>0.3969</v>
      </c>
      <c s="161" r="C165">
        <f>((((((C156*C157)*C158)*C159)*C160)*C161)*C162)*C163</f>
        <v>1</v>
      </c>
      <c s="161" r="D165">
        <f>((((((D156*D157)*D158)*D159)*D160)*D161)*D162)*D163</f>
        <v>1</v>
      </c>
      <c s="161" r="E165">
        <f>((((((E156*E157)*E158)*E159)*E160)*E161)*E162)*E163</f>
        <v>1</v>
      </c>
      <c s="161" r="F165">
        <f>((((((F156*F157)*F158)*F159)*F160)*F161)*F162)*F163</f>
        <v>0</v>
      </c>
      <c s="161" r="G165">
        <f>((((((G156*G157)*G158)*G159)*G160)*G161)*G162)*G163</f>
        <v>0</v>
      </c>
      <c s="161" r="H165">
        <f>((((((H156*H157)*H158)*H159)*H160)*H161)*H162)*H163</f>
        <v>0</v>
      </c>
      <c s="161" r="I165">
        <f>((((((I156*I157)*I158)*I159)*I160)*I161)*I162)*I163</f>
        <v>0.4096</v>
      </c>
      <c s="11" r="J165">
        <f>((((((J156*J157)*J158)*J159)*J160)*J161)*J162)*J163</f>
        <v>0</v>
      </c>
      <c s="87" r="K165"/>
    </row>
    <row s="81" customFormat="1" r="166">
      <c t="s" s="69" r="A166">
        <v>116</v>
      </c>
      <c s="99" r="B166">
        <f>((((B111*B120)*B135)*B149)*B154)*B165</f>
        <v>0</v>
      </c>
      <c s="99" r="C166">
        <f>((((C111*C120)*C135)*C149)*C154)*C165</f>
        <v>1</v>
      </c>
      <c s="99" r="D166">
        <f>((((D111*D120)*D135)*D149)*D154)*D165</f>
        <v>1</v>
      </c>
      <c s="99" r="E166">
        <f>((((E111*E120)*E135)*E149)*E154)*E165</f>
        <v>1</v>
      </c>
      <c s="99" r="F166">
        <f>((((F111*F120)*F135)*F149)*F154)*F165</f>
        <v>0</v>
      </c>
      <c s="99" r="G166">
        <f>((((G111*G120)*G135)*G149)*G154)*G165</f>
        <v>0</v>
      </c>
      <c s="99" r="H166">
        <f>((((H111*H120)*H135)*H149)*H154)*H165</f>
        <v>0</v>
      </c>
      <c s="99" r="I166">
        <f>((((I111*I120)*I135)*I149)*I154)*I165</f>
        <v>0.4096</v>
      </c>
      <c s="97" r="J166">
        <f>((((J111*J120)*J135)*J149)*J154)*J165</f>
        <v>0</v>
      </c>
      <c s="87" r="K166"/>
    </row>
    <row r="167">
      <c s="98" r="A167"/>
      <c s="98" r="B167"/>
      <c s="98" r="C167"/>
      <c s="98" r="D167"/>
      <c s="98" r="E167"/>
      <c s="98" r="F167"/>
      <c s="98" r="G167"/>
      <c s="98" r="H167"/>
      <c s="98" r="I167"/>
      <c s="98" r="J167"/>
    </row>
  </sheetData>
  <mergeCells count="5">
    <mergeCell ref="B2:J2"/>
    <mergeCell ref="A6:J6"/>
    <mergeCell ref="A79:C79"/>
    <mergeCell ref="B91:J91"/>
    <mergeCell ref="A95:J95"/>
  </mergeCells>
</worksheet>
</file>