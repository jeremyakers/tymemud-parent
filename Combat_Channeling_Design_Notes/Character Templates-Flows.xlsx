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<sst xmlns="http://schemas.openxmlformats.org/spreadsheetml/2006/main" count="70" uniqueCount="36">
  <si>
    <t>Male</t>
  </si>
  <si>
    <t>Weight</t>
  </si>
  <si>
    <t>Benchpress</t>
  </si>
  <si>
    <t>Agility</t>
  </si>
  <si>
    <t>Female</t>
  </si>
  <si>
    <t>Light</t>
  </si>
  <si>
    <t>Small</t>
  </si>
  <si>
    <t>Built</t>
  </si>
  <si>
    <t>Barbie</t>
  </si>
  <si>
    <t>Massive</t>
  </si>
  <si>
    <t>Totals</t>
  </si>
  <si>
    <t>Athletic</t>
  </si>
  <si>
    <t>HP mod</t>
  </si>
  <si>
    <t>Str Mod</t>
  </si>
  <si>
    <t>Agility Mod</t>
  </si>
  <si>
    <t>Sum</t>
  </si>
  <si>
    <t>Ave</t>
  </si>
  <si>
    <t>Muscular</t>
  </si>
  <si>
    <t>Large</t>
  </si>
  <si>
    <t>Ave:</t>
  </si>
  <si>
    <t>Petite</t>
  </si>
  <si>
    <t>Willowy</t>
  </si>
  <si>
    <t>Channeling</t>
  </si>
  <si>
    <t>Air</t>
  </si>
  <si>
    <t>Water</t>
  </si>
  <si>
    <t>Spirit</t>
  </si>
  <si>
    <t>Fire</t>
  </si>
  <si>
    <t>Earth</t>
  </si>
  <si>
    <t>Total</t>
  </si>
  <si>
    <t>Level</t>
  </si>
  <si>
    <t>Flowsum</t>
  </si>
  <si>
    <t>% of Max</t>
  </si>
  <si>
    <t>S4</t>
  </si>
  <si>
    <t>S3</t>
  </si>
  <si>
    <t>S2</t>
  </si>
  <si>
    <t>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</si>
</sst>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Symbo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FFFF99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2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9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fillId="0" numFmtId="0" borderId="0" fontId="0"/>
  </cellStyleXfs>
  <cellXfs count="45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applyAlignment="1" fillId="2" xfId="0" numFmtId="0" borderId="2" applyFont="1" fontId="1" applyFill="1">
      <alignment vertical="bottom" horizontal="center"/>
    </xf>
    <xf applyBorder="1" fillId="3" xfId="0" numFmtId="0" borderId="3" applyFont="1" fontId="2" applyFill="1"/>
    <xf applyBorder="1" fillId="0" xfId="0" numFmtId="0" borderId="4" applyFont="1" fontId="3"/>
    <xf applyBorder="1" applyAlignment="1" fillId="4" xfId="0" numFmtId="0" borderId="5" applyFont="1" fontId="4" applyFill="1">
      <alignment vertical="bottom" horizontal="center"/>
    </xf>
    <xf applyBorder="1" applyAlignment="1" fillId="0" xfId="0" numFmtId="0" borderId="6" fontId="0">
      <alignment vertical="bottom" horizontal="general" wrapText="1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fontId="0">
      <alignment vertical="bottom" horizontal="general" wrapText="1"/>
    </xf>
    <xf applyBorder="1" applyAlignment="1" fillId="0" xfId="0" numFmtId="0" borderId="9" fontId="0">
      <alignment vertical="bottom" horizontal="general" wrapText="1"/>
    </xf>
    <xf applyBorder="1" fillId="5" xfId="0" numFmtId="0" borderId="10" applyFont="1" fontId="5" applyFill="1"/>
    <xf applyBorder="1" applyAlignment="1" fillId="6" xfId="0" numFmtId="0" borderId="11" applyFont="1" fontId="6" applyFill="1">
      <alignment vertical="bottom" horizontal="center"/>
    </xf>
    <xf applyBorder="1" fillId="7" xfId="0" numFmtId="0" borderId="12" applyFont="1" fontId="7" applyFill="1"/>
    <xf applyBorder="1" applyAlignment="1" fillId="8" xfId="0" numFmtId="0" borderId="13" applyFont="1" fontId="8" applyFill="1">
      <alignment vertical="bottom" horizontal="center"/>
    </xf>
    <xf applyBorder="1" fillId="9" xfId="0" numFmtId="0" borderId="14" applyFont="1" fontId="9" applyFill="1"/>
    <xf applyBorder="1" applyAlignment="1" fillId="0" xfId="0" numFmtId="0" borderId="15" fontId="0">
      <alignment vertical="bottom" horizontal="general" wrapText="1"/>
    </xf>
    <xf applyBorder="1" fillId="10" xfId="0" numFmtId="0" borderId="16" applyFont="1" fontId="10" applyFill="1"/>
    <xf applyBorder="1" fillId="0" xfId="0" numFmtId="0" borderId="17" applyFont="1" fontId="11"/>
    <xf applyBorder="1" applyAlignment="1" fillId="11" xfId="0" numFmtId="0" borderId="18" applyFont="1" fontId="12" applyFill="1">
      <alignment vertical="bottom" horizontal="center"/>
    </xf>
    <xf applyBorder="1" applyAlignment="1" fillId="12" xfId="0" numFmtId="0" borderId="19" applyFont="1" fontId="13" applyFill="1">
      <alignment vertical="bottom" horizontal="center"/>
    </xf>
    <xf applyBorder="1" applyAlignment="1" fillId="0" xfId="0" numFmtId="0" borderId="20" fontId="0">
      <alignment vertical="bottom" horizontal="general" wrapText="1"/>
    </xf>
    <xf applyBorder="1" fillId="0" xfId="0" numFmtId="0" borderId="21" applyFont="1" fontId="14"/>
    <xf applyBorder="1" applyAlignment="1" fillId="13" xfId="0" numFmtId="0" borderId="22" applyFont="1" fontId="15" applyFill="1">
      <alignment vertical="bottom" horizontal="center"/>
    </xf>
    <xf applyBorder="1" applyAlignment="1" fillId="0" xfId="0" numFmtId="0" borderId="23" fontId="0">
      <alignment vertical="bottom" horizontal="general" wrapText="1"/>
    </xf>
    <xf applyBorder="1" fillId="14" xfId="0" numFmtId="0" borderId="24" applyFont="1" fontId="16" applyFill="1"/>
    <xf applyBorder="1" applyAlignment="1" fillId="0" xfId="0" numFmtId="0" borderId="25" fontId="0">
      <alignment vertical="bottom" horizontal="general" wrapText="1"/>
    </xf>
    <xf applyBorder="1" applyAlignment="1" fillId="0" xfId="0" numFmtId="0" borderId="26" fontId="0">
      <alignment vertical="bottom" horizontal="general" wrapText="1"/>
    </xf>
    <xf applyBorder="1" fillId="15" xfId="0" numFmtId="0" borderId="27" applyFont="1" fontId="17" applyFill="1"/>
    <xf applyBorder="1" fillId="16" xfId="0" numFmtId="0" borderId="28" applyFont="1" fontId="18" applyFill="1"/>
    <xf applyBorder="1" applyAlignment="1" fillId="17" xfId="0" numFmtId="0" borderId="29" applyFont="1" fontId="19" applyFill="1">
      <alignment vertical="bottom" horizontal="center"/>
    </xf>
    <xf applyBorder="1" fillId="18" xfId="0" numFmtId="0" borderId="30" applyFont="1" fontId="20" applyFill="1"/>
    <xf applyBorder="1" applyAlignment="1" fillId="0" xfId="0" numFmtId="0" borderId="31" fontId="0">
      <alignment vertical="bottom" horizontal="general" wrapText="1"/>
    </xf>
    <xf applyBorder="1" fillId="19" xfId="0" numFmtId="0" borderId="32" applyFont="1" fontId="21" applyFill="1"/>
    <xf applyBorder="1" applyAlignment="1" fillId="0" xfId="0" numFmtId="0" borderId="33" fontId="0">
      <alignment vertical="bottom" horizontal="general" wrapText="1"/>
    </xf>
    <xf applyBorder="1" applyAlignment="1" fillId="0" xfId="0" numFmtId="0" borderId="34" fontId="0">
      <alignment vertical="bottom" horizontal="general" wrapText="1"/>
    </xf>
    <xf applyBorder="1" applyAlignment="1" fillId="0" xfId="0" numFmtId="0" borderId="35" fontId="0">
      <alignment vertical="bottom" horizontal="general" wrapText="1"/>
    </xf>
    <xf applyBorder="1" fillId="20" xfId="0" numFmtId="0" borderId="36" applyFont="1" fontId="22" applyFill="1"/>
    <xf applyBorder="1" applyAlignment="1" fillId="0" xfId="0" numFmtId="0" borderId="37" fontId="0">
      <alignment vertical="bottom" horizontal="general" wrapText="1"/>
    </xf>
    <xf applyBorder="1" fillId="0" xfId="0" numFmtId="0" borderId="38" applyFont="1" fontId="23"/>
    <xf applyBorder="1" fillId="0" xfId="0" numFmtId="0" borderId="39" applyFont="1" fontId="24"/>
    <xf applyBorder="1" applyAlignment="1" fillId="0" xfId="0" numFmtId="0" borderId="40" fontId="0">
      <alignment vertical="bottom" horizontal="general" wrapText="1"/>
    </xf>
    <xf fillId="0" xfId="0" numFmtId="0" borderId="0" applyFont="1" fontId="25"/>
    <xf applyBorder="1" fillId="21" xfId="0" numFmtId="0" borderId="41" applyFont="1" fontId="26" applyFill="1"/>
    <xf applyBorder="1" applyAlignment="1" fillId="0" xfId="0" numFmtId="0" borderId="42" fontId="0">
      <alignment vertical="bottom" horizontal="general" wrapText="1"/>
    </xf>
    <xf applyBorder="1" applyAlignment="1" fillId="0" xfId="0" numFmtId="0" borderId="43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7.86"/>
    <col min="3" customWidth="1" max="4" style="41" width="12.29"/>
    <col min="5" customWidth="1" max="7" width="7.86"/>
    <col min="8" customWidth="1" max="9" style="41" width="11.14"/>
  </cols>
  <sheetData>
    <row r="1">
      <c s="34" r="A1"/>
      <c s="34" r="B1"/>
      <c s="34" r="C1"/>
      <c s="34" r="D1"/>
      <c s="34" r="F1"/>
      <c s="34" r="G1"/>
      <c s="34" r="H1"/>
      <c s="34" r="I1"/>
    </row>
    <row r="2">
      <c t="s" s="2" r="A2">
        <v>0</v>
      </c>
      <c t="s" s="29" r="B2">
        <v>1</v>
      </c>
      <c t="s" s="13" r="C2">
        <v>2</v>
      </c>
      <c t="s" s="18" r="D2">
        <v>3</v>
      </c>
      <c s="40" r="E2"/>
      <c t="s" s="2" r="F2">
        <v>4</v>
      </c>
      <c t="s" s="29" r="G2">
        <v>1</v>
      </c>
      <c t="s" s="13" r="H2">
        <v>2</v>
      </c>
      <c t="s" s="18" r="I2">
        <v>3</v>
      </c>
      <c s="1" r="J2"/>
    </row>
    <row r="3">
      <c t="s" s="42" r="A3">
        <v>5</v>
      </c>
      <c s="42" r="B3">
        <f>B10*100.0</f>
        <v>150</v>
      </c>
      <c s="42" r="C3">
        <f>C10*100.0</f>
        <v>160</v>
      </c>
      <c s="42" r="D3">
        <f>D10*100.0</f>
        <v>150</v>
      </c>
      <c s="40" r="E3"/>
      <c t="s" s="42" r="F3">
        <v>6</v>
      </c>
      <c s="42" r="G3">
        <f>B19*100.0</f>
        <v>110</v>
      </c>
      <c s="42" r="H3">
        <f>C19*100.0</f>
        <v>70</v>
      </c>
      <c s="42" r="I3">
        <f>D19*100.0</f>
        <v>150</v>
      </c>
      <c s="1" r="J3"/>
    </row>
    <row r="4">
      <c t="s" s="42" r="A4">
        <v>7</v>
      </c>
      <c s="42" r="B4">
        <f>B11*100.0</f>
        <v>200</v>
      </c>
      <c s="42" r="C4">
        <f>C11*100.0</f>
        <v>230</v>
      </c>
      <c s="42" r="D4">
        <f>D11*100.0</f>
        <v>115</v>
      </c>
      <c s="40" r="E4"/>
      <c t="s" s="42" r="F4">
        <v>8</v>
      </c>
      <c s="42" r="G4">
        <f>B20*100.0</f>
        <v>130</v>
      </c>
      <c s="42" r="H4">
        <f>C20*100.0</f>
        <v>85</v>
      </c>
      <c s="42" r="I4">
        <f>D20*100.0</f>
        <v>140</v>
      </c>
      <c s="1" r="J4"/>
    </row>
    <row r="5">
      <c t="s" s="42" r="A5">
        <v>9</v>
      </c>
      <c s="42" r="B5">
        <f>B12*100.0</f>
        <v>240</v>
      </c>
      <c s="42" r="C5">
        <f>C12*100.0</f>
        <v>290</v>
      </c>
      <c s="42" r="D5">
        <f>D12*100.0</f>
        <v>90</v>
      </c>
      <c t="s" s="40" r="E5">
        <v>10</v>
      </c>
      <c t="s" s="42" r="F5">
        <v>11</v>
      </c>
      <c s="42" r="G5">
        <f>B21*100.0</f>
        <v>160</v>
      </c>
      <c s="42" r="H5">
        <f>C21*100.0</f>
        <v>200</v>
      </c>
      <c s="42" r="I5">
        <f>D21*100.0</f>
        <v>120</v>
      </c>
      <c t="s" s="1" r="J5">
        <v>10</v>
      </c>
    </row>
    <row r="6">
      <c t="s" s="42" r="A6">
        <v>5</v>
      </c>
      <c s="26" r="B6">
        <f>B3/10</f>
        <v>15</v>
      </c>
      <c s="9" r="C6">
        <f>C3/10</f>
        <v>16</v>
      </c>
      <c s="9" r="D6">
        <f>D3/5</f>
        <v>30</v>
      </c>
      <c s="6" r="E6">
        <f>SUM(B6:D6)</f>
        <v>61</v>
      </c>
      <c t="s" s="42" r="F6">
        <v>6</v>
      </c>
      <c s="26" r="G6">
        <f>G3/10</f>
        <v>11</v>
      </c>
      <c s="9" r="H6">
        <f>H3/5</f>
        <v>14</v>
      </c>
      <c s="9" r="I6">
        <f>I3/10</f>
        <v>15</v>
      </c>
      <c r="J6">
        <f>SUM(G6:I6)</f>
        <v>40</v>
      </c>
    </row>
    <row r="7">
      <c t="s" s="42" r="A7">
        <v>7</v>
      </c>
      <c s="1" r="B7">
        <f>B4/10</f>
        <v>20</v>
      </c>
      <c r="C7">
        <f>C4/10</f>
        <v>23</v>
      </c>
      <c r="D7">
        <f>D4/5</f>
        <v>23</v>
      </c>
      <c s="6" r="E7">
        <f>SUM(B7:D7)</f>
        <v>66</v>
      </c>
      <c t="s" s="42" r="F7">
        <v>8</v>
      </c>
      <c s="1" r="G7">
        <f>G4/10</f>
        <v>13</v>
      </c>
      <c r="H7">
        <f>H4/5</f>
        <v>17</v>
      </c>
      <c r="I7">
        <f>I4/10</f>
        <v>14</v>
      </c>
      <c r="J7">
        <f>SUM(G7:I7)</f>
        <v>44</v>
      </c>
    </row>
    <row s="41" customFormat="1" r="8">
      <c t="s" s="42" r="A8">
        <v>9</v>
      </c>
      <c s="23" r="B8">
        <f>B5/10</f>
        <v>24</v>
      </c>
      <c s="34" r="C8">
        <f>C5/10</f>
        <v>29</v>
      </c>
      <c s="34" r="D8">
        <f>D5/5</f>
        <v>18</v>
      </c>
      <c s="7" r="E8">
        <f>SUM(B8:D8)</f>
        <v>71</v>
      </c>
      <c t="s" s="42" r="F8">
        <v>11</v>
      </c>
      <c s="23" r="G8">
        <f>G5/10</f>
        <v>16</v>
      </c>
      <c s="34" r="H8">
        <f>H5/5</f>
        <v>40</v>
      </c>
      <c s="34" r="I8">
        <f>I5/10</f>
        <v>12</v>
      </c>
      <c s="37" r="J8">
        <f>SUM(G8:I8)</f>
        <v>68</v>
      </c>
    </row>
    <row r="9">
      <c t="s" s="2" r="A9">
        <v>0</v>
      </c>
      <c t="s" s="29" r="B9">
        <v>12</v>
      </c>
      <c t="s" s="13" r="C9">
        <v>13</v>
      </c>
      <c t="s" s="11" r="D9">
        <v>14</v>
      </c>
      <c t="s" s="30" r="E9">
        <v>15</v>
      </c>
      <c t="s" s="16" r="F9">
        <v>16</v>
      </c>
      <c s="33" r="G9"/>
      <c s="9" r="H9"/>
      <c s="9" r="I9"/>
      <c s="15" r="J9"/>
    </row>
    <row r="10">
      <c t="s" s="42" r="A10">
        <v>5</v>
      </c>
      <c s="42" r="B10">
        <v>1.5</v>
      </c>
      <c s="42" r="C10">
        <v>1.6</v>
      </c>
      <c s="32" r="D10">
        <v>1.5</v>
      </c>
      <c s="3" r="E10">
        <f>SUM(B10:D10)</f>
        <v>4.6</v>
      </c>
      <c s="3" r="F10">
        <f>AVERAGE(B10:D10)</f>
        <v>1.53333333333333</v>
      </c>
      <c s="44" r="G10"/>
    </row>
    <row r="11">
      <c t="s" s="42" r="A11">
        <v>17</v>
      </c>
      <c s="42" r="B11">
        <v>2</v>
      </c>
      <c s="42" r="C11">
        <v>2.3</v>
      </c>
      <c s="32" r="D11">
        <v>1.15</v>
      </c>
      <c s="3" r="E11">
        <f>SUM(B11:D11)</f>
        <v>5.45</v>
      </c>
      <c s="3" r="F11">
        <f>AVERAGE(B11:D11)</f>
        <v>1.81666666666667</v>
      </c>
      <c s="44" r="G11"/>
    </row>
    <row r="12">
      <c t="s" s="42" r="A12">
        <v>18</v>
      </c>
      <c s="42" r="B12">
        <v>2.4</v>
      </c>
      <c s="42" r="C12">
        <v>2.9</v>
      </c>
      <c s="32" r="D12">
        <v>0.9</v>
      </c>
      <c s="3" r="E12">
        <f>SUM(B12:D12)</f>
        <v>6.2</v>
      </c>
      <c s="3" r="F12">
        <f>AVERAGE(B12:D12)</f>
        <v>2.06666666666667</v>
      </c>
      <c s="44" r="G12"/>
    </row>
    <row s="41" customFormat="1" r="13">
      <c t="s" s="4" r="A13">
        <v>19</v>
      </c>
      <c s="4" r="B13">
        <f>AVERAGE(B10:B12)</f>
        <v>1.96666666666667</v>
      </c>
      <c s="4" r="C13">
        <f>AVERAGE(C10:C12)</f>
        <v>2.26666666666667</v>
      </c>
      <c s="17" r="D13">
        <f>AVERAGE(D10:D12)</f>
        <v>1.18333333333333</v>
      </c>
      <c s="39" r="E13">
        <f>AVERAGE(E10:E12)</f>
        <v>5.41666666666667</v>
      </c>
      <c s="39" r="F13">
        <f>AVERAGE(F10:F12)</f>
        <v>1.80555555555556</v>
      </c>
      <c s="44" r="G13"/>
    </row>
    <row r="14">
      <c s="15" r="E14"/>
      <c s="15" r="F14"/>
    </row>
    <row r="15">
      <c s="41" r="C15">
        <f>AVERAGE(B13:D13)</f>
        <v>1.80555555555556</v>
      </c>
    </row>
    <row s="41" customFormat="1" r="17">
      <c s="34" r="A17"/>
      <c s="34" r="B17"/>
      <c s="34" r="C17"/>
      <c s="34" r="D17"/>
      <c s="37" r="E17"/>
      <c s="37" r="F17"/>
    </row>
    <row r="18">
      <c t="s" s="2" r="A18">
        <v>4</v>
      </c>
      <c t="s" s="29" r="B18">
        <v>12</v>
      </c>
      <c t="s" s="13" r="C18">
        <v>13</v>
      </c>
      <c t="s" s="11" r="D18">
        <v>14</v>
      </c>
      <c t="s" s="30" r="E18">
        <v>15</v>
      </c>
      <c t="s" s="30" r="F18">
        <v>16</v>
      </c>
      <c s="44" r="G18"/>
    </row>
    <row r="19">
      <c t="s" s="42" r="A19">
        <v>20</v>
      </c>
      <c s="42" r="B19">
        <v>1.1</v>
      </c>
      <c s="42" r="C19">
        <v>0.7</v>
      </c>
      <c s="32" r="D19">
        <v>1.5</v>
      </c>
      <c s="3" r="E19">
        <f>SUM(B19:D19)</f>
        <v>3.3</v>
      </c>
      <c s="3" r="F19">
        <f>AVERAGE(B19:D19)</f>
        <v>1.1</v>
      </c>
      <c s="44" r="G19"/>
    </row>
    <row r="20">
      <c t="s" s="42" r="A20">
        <v>21</v>
      </c>
      <c s="42" r="B20">
        <v>1.3</v>
      </c>
      <c s="42" r="C20">
        <v>0.85</v>
      </c>
      <c s="32" r="D20">
        <v>1.4</v>
      </c>
      <c s="3" r="E20">
        <f>SUM(B20:D20)</f>
        <v>3.55</v>
      </c>
      <c s="3" r="F20">
        <f>AVERAGE(B20:D20)</f>
        <v>1.18333333333333</v>
      </c>
      <c s="44" r="G20"/>
    </row>
    <row r="21">
      <c t="s" s="42" r="A21">
        <v>11</v>
      </c>
      <c s="42" r="B21">
        <v>1.6</v>
      </c>
      <c s="42" r="C21">
        <v>2</v>
      </c>
      <c s="32" r="D21">
        <v>1.2</v>
      </c>
      <c s="3" r="E21">
        <f>SUM(B21:D21)</f>
        <v>4.8</v>
      </c>
      <c s="3" r="F21">
        <f>AVERAGE(B21:D21)</f>
        <v>1.6</v>
      </c>
      <c s="44" r="G21"/>
    </row>
    <row s="41" customFormat="1" r="22">
      <c t="s" s="4" r="A22">
        <v>19</v>
      </c>
      <c s="4" r="B22">
        <f>AVERAGE(B19:B21)</f>
        <v>1.33333333333333</v>
      </c>
      <c s="4" r="C22">
        <f>AVERAGE(C19:C21)</f>
        <v>1.18333333333333</v>
      </c>
      <c s="17" r="D22">
        <f>AVERAGE(D19:D21)</f>
        <v>1.36666666666667</v>
      </c>
      <c s="39" r="E22">
        <f>AVERAGE(E19:E21)</f>
        <v>3.88333333333333</v>
      </c>
      <c s="39" r="F22">
        <f>AVERAGE(F19:F21)</f>
        <v>1.29444444444444</v>
      </c>
      <c s="44" r="G22"/>
    </row>
    <row r="23">
      <c s="15" r="E23"/>
      <c s="15" r="F23"/>
    </row>
    <row r="24">
      <c s="41" r="C24">
        <f>AVERAGE(B22:D22)</f>
        <v>1.29444444444444</v>
      </c>
    </row>
    <row r="31">
      <c s="34" r="A31"/>
      <c s="34" r="B31"/>
      <c s="34" r="C31"/>
      <c s="34" r="D31"/>
      <c s="34" r="F31"/>
      <c s="34" r="G31"/>
      <c s="34" r="H31"/>
      <c s="34" r="I31"/>
    </row>
    <row r="32">
      <c t="s" s="2" r="A32">
        <v>0</v>
      </c>
      <c t="s" s="29" r="B32">
        <v>1</v>
      </c>
      <c t="s" s="13" r="C32">
        <v>2</v>
      </c>
      <c t="s" s="18" r="D32">
        <v>3</v>
      </c>
      <c s="40" r="E32"/>
      <c t="s" s="2" r="F32">
        <v>4</v>
      </c>
      <c t="s" s="29" r="G32">
        <v>1</v>
      </c>
      <c t="s" s="13" r="H32">
        <v>2</v>
      </c>
      <c t="s" s="18" r="I32">
        <v>3</v>
      </c>
      <c s="1" r="J32"/>
    </row>
    <row r="33">
      <c t="s" s="42" r="A33">
        <v>5</v>
      </c>
      <c s="42" r="B33">
        <v>150</v>
      </c>
      <c s="42" r="C33">
        <v>180</v>
      </c>
      <c s="42" r="D33">
        <v>190</v>
      </c>
      <c s="40" r="E33"/>
      <c t="s" s="42" r="F33">
        <v>6</v>
      </c>
      <c s="42" r="G33">
        <v>90</v>
      </c>
      <c s="42" r="H33">
        <v>50</v>
      </c>
      <c s="42" r="I33">
        <v>150</v>
      </c>
      <c s="1" r="J33"/>
    </row>
    <row r="34">
      <c t="s" s="42" r="A34">
        <v>7</v>
      </c>
      <c s="42" r="B34">
        <v>200</v>
      </c>
      <c s="42" r="C34">
        <v>230</v>
      </c>
      <c s="42" r="D34">
        <v>115</v>
      </c>
      <c s="40" r="E34"/>
      <c t="s" s="42" r="F34">
        <v>8</v>
      </c>
      <c s="42" r="G34">
        <v>110</v>
      </c>
      <c s="42" r="H34">
        <v>75</v>
      </c>
      <c s="42" r="I34">
        <v>180</v>
      </c>
      <c s="1" r="J34"/>
    </row>
    <row r="35">
      <c t="s" s="42" r="A35">
        <v>9</v>
      </c>
      <c s="42" r="B35">
        <v>240</v>
      </c>
      <c s="42" r="C35">
        <v>290</v>
      </c>
      <c s="42" r="D35">
        <v>90</v>
      </c>
      <c s="40" r="E35"/>
      <c t="s" s="42" r="F35">
        <v>11</v>
      </c>
      <c s="42" r="G35">
        <v>160</v>
      </c>
      <c s="42" r="H35">
        <v>170</v>
      </c>
      <c s="42" r="I35">
        <v>120</v>
      </c>
      <c s="1" r="J35"/>
    </row>
    <row r="36">
      <c s="9" r="A36"/>
      <c s="9" r="B36"/>
      <c s="9" r="C36"/>
      <c s="9" r="D36"/>
      <c s="9" r="F36"/>
      <c s="9" r="G36"/>
      <c s="9" r="H36"/>
      <c s="9" r="I3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8" width="7.86"/>
  </cols>
  <sheetData>
    <row r="1">
      <c s="34" r="B1"/>
      <c s="34" r="C1"/>
      <c s="34" r="D1"/>
      <c s="34" r="E1"/>
      <c s="34" r="F1"/>
      <c s="34" r="G1"/>
    </row>
    <row r="2">
      <c t="s" s="21" r="A2">
        <v>22</v>
      </c>
      <c t="s" s="2" r="B2">
        <v>23</v>
      </c>
      <c t="s" s="2" r="C2">
        <v>24</v>
      </c>
      <c t="s" s="2" r="D2">
        <v>25</v>
      </c>
      <c t="s" s="2" r="E2">
        <v>26</v>
      </c>
      <c t="s" s="2" r="F2">
        <v>27</v>
      </c>
      <c t="s" s="2" r="G2">
        <v>28</v>
      </c>
      <c s="1" r="H2"/>
    </row>
    <row r="3">
      <c s="6" r="A3"/>
      <c s="38" r="B3">
        <v>4</v>
      </c>
      <c s="38" r="C3">
        <v>3</v>
      </c>
      <c s="38" r="D3">
        <v>3</v>
      </c>
      <c s="38" r="E3">
        <v>2</v>
      </c>
      <c s="38" r="F3">
        <v>2</v>
      </c>
      <c s="38" r="G3">
        <v>14</v>
      </c>
      <c s="1" r="H3"/>
    </row>
    <row r="4">
      <c s="6" r="A4"/>
      <c s="38" r="B4">
        <v>3</v>
      </c>
      <c s="38" r="C4">
        <v>3</v>
      </c>
      <c s="38" r="D4">
        <v>3</v>
      </c>
      <c s="38" r="E4">
        <v>3</v>
      </c>
      <c s="38" r="F4">
        <v>2</v>
      </c>
      <c s="38" r="G4">
        <v>14</v>
      </c>
      <c s="1" r="H4"/>
    </row>
    <row r="5">
      <c s="6" r="A5"/>
      <c s="38" r="B5">
        <v>4</v>
      </c>
      <c s="38" r="C5">
        <v>4</v>
      </c>
      <c s="38" r="D5">
        <v>3</v>
      </c>
      <c s="38" r="E5">
        <v>2</v>
      </c>
      <c s="38" r="F5">
        <v>1</v>
      </c>
      <c s="38" r="G5">
        <v>14</v>
      </c>
      <c s="1" r="H5"/>
    </row>
    <row r="6">
      <c s="6" r="A6"/>
      <c s="38" r="B6">
        <v>2</v>
      </c>
      <c s="38" r="C6">
        <v>2</v>
      </c>
      <c s="38" r="D6">
        <v>2</v>
      </c>
      <c s="38" r="E6">
        <v>2</v>
      </c>
      <c s="38" r="F6">
        <v>2</v>
      </c>
      <c s="38" r="G6">
        <v>10</v>
      </c>
      <c s="1" r="H6"/>
    </row>
    <row r="7">
      <c s="4" r="B7">
        <v>4</v>
      </c>
      <c s="4" r="C7">
        <v>4</v>
      </c>
      <c s="4" r="D7">
        <v>3</v>
      </c>
      <c s="4" r="E7">
        <v>2</v>
      </c>
      <c s="4" r="F7">
        <v>2</v>
      </c>
      <c s="4" r="G7">
        <v>15</v>
      </c>
    </row>
    <row r="8">
      <c s="41" r="B8">
        <v>4</v>
      </c>
      <c s="41" r="C8">
        <v>3</v>
      </c>
      <c s="41" r="D8">
        <v>3</v>
      </c>
      <c s="41" r="E8">
        <v>3</v>
      </c>
      <c s="41" r="F8">
        <v>2</v>
      </c>
      <c s="41" r="G8">
        <v>15</v>
      </c>
    </row>
    <row r="9">
      <c s="41" r="B9">
        <v>3</v>
      </c>
      <c s="41" r="C9">
        <v>3</v>
      </c>
      <c s="41" r="D9">
        <v>3</v>
      </c>
      <c s="41" r="E9">
        <v>3</v>
      </c>
      <c s="41" r="F9">
        <v>3</v>
      </c>
      <c s="41" r="G9">
        <v>15</v>
      </c>
    </row>
    <row s="41" customFormat="1" r="14">
      <c s="37" r="B14"/>
      <c s="37" r="C14"/>
      <c s="37" r="D14"/>
      <c s="37" r="E14"/>
      <c s="37" r="F14"/>
    </row>
    <row s="41" customFormat="1" r="15">
      <c s="31" r="A15"/>
      <c t="s" s="19" r="B15">
        <v>29</v>
      </c>
      <c s="20" r="C15"/>
      <c s="20" r="D15"/>
      <c s="20" r="E15"/>
      <c s="25" r="F15"/>
      <c s="35" r="G15"/>
      <c s="37" r="H15"/>
    </row>
    <row s="41" customFormat="1" r="16">
      <c s="43" r="A16"/>
      <c s="19" r="B16">
        <v>10</v>
      </c>
      <c s="19" r="C16">
        <v>20</v>
      </c>
      <c s="19" r="D16">
        <v>30</v>
      </c>
      <c s="19" r="E16">
        <v>40</v>
      </c>
      <c s="5" r="F16">
        <v>50</v>
      </c>
      <c t="s" s="19" r="G16">
        <v>30</v>
      </c>
      <c t="s" s="19" r="H16">
        <v>31</v>
      </c>
      <c s="44" r="I16"/>
    </row>
    <row s="41" customFormat="1" r="17">
      <c s="19" r="A17">
        <v>4</v>
      </c>
      <c s="27" r="B17">
        <v>4</v>
      </c>
      <c s="24" r="C17">
        <v>3</v>
      </c>
      <c s="24" r="D17">
        <v>3</v>
      </c>
      <c s="24" r="E17">
        <v>2</v>
      </c>
      <c s="32" r="F17">
        <v>1</v>
      </c>
      <c s="28" r="G17">
        <v>130</v>
      </c>
      <c s="36" r="H17">
        <v>1</v>
      </c>
      <c s="44" r="I17"/>
    </row>
    <row s="41" customFormat="1" r="18">
      <c s="19" r="A18">
        <v>3</v>
      </c>
      <c s="10" r="B18">
        <v>3</v>
      </c>
      <c s="42" r="C18">
        <v>3</v>
      </c>
      <c s="42" r="D18">
        <v>3</v>
      </c>
      <c s="42" r="E18">
        <v>2</v>
      </c>
      <c s="32" r="F18">
        <v>1</v>
      </c>
      <c s="28" r="G18">
        <v>120</v>
      </c>
      <c s="36" r="H18">
        <v>0.92307692307692</v>
      </c>
      <c s="44" r="I18"/>
    </row>
    <row s="41" customFormat="1" r="19">
      <c s="19" r="A19">
        <v>2</v>
      </c>
      <c s="10" r="B19">
        <v>2</v>
      </c>
      <c s="42" r="C19">
        <v>2</v>
      </c>
      <c s="42" r="D19">
        <v>2</v>
      </c>
      <c s="42" r="E19">
        <v>2</v>
      </c>
      <c s="32" r="F19">
        <v>1</v>
      </c>
      <c s="28" r="G19">
        <v>90</v>
      </c>
      <c s="36" r="H19">
        <v>0.69230769230769</v>
      </c>
      <c s="44" r="I19"/>
    </row>
    <row s="41" customFormat="1" r="20">
      <c s="19" r="A20">
        <v>1</v>
      </c>
      <c s="10" r="B20">
        <v>1</v>
      </c>
      <c s="42" r="C20">
        <v>1</v>
      </c>
      <c s="42" r="D20">
        <v>1</v>
      </c>
      <c s="42" r="E20">
        <v>1</v>
      </c>
      <c s="32" r="F20">
        <v>1</v>
      </c>
      <c s="28" r="G20">
        <v>50</v>
      </c>
      <c s="36" r="H20">
        <v>38.4615384615385</v>
      </c>
      <c s="44" r="I20"/>
    </row>
    <row s="41" customFormat="1" r="21">
      <c t="s" s="22" r="A21">
        <v>32</v>
      </c>
      <c s="14" r="B21">
        <v>40</v>
      </c>
      <c s="12" r="C21">
        <v>70</v>
      </c>
      <c s="12" r="D21">
        <v>100</v>
      </c>
      <c s="12" r="E21">
        <v>120</v>
      </c>
      <c s="12" r="F21">
        <v>130</v>
      </c>
      <c s="8" r="G21"/>
      <c s="15" r="H21"/>
    </row>
    <row s="41" customFormat="1" r="22">
      <c t="s" s="22" r="A22">
        <v>33</v>
      </c>
      <c s="14" r="B22">
        <v>30</v>
      </c>
      <c s="12" r="C22">
        <v>60</v>
      </c>
      <c s="12" r="D22">
        <v>90</v>
      </c>
      <c s="12" r="E22">
        <v>110</v>
      </c>
      <c s="12" r="F22">
        <v>120</v>
      </c>
      <c s="1" r="G22"/>
    </row>
    <row s="41" customFormat="1" r="23">
      <c t="s" s="22" r="A23">
        <v>34</v>
      </c>
      <c s="14" r="B23">
        <v>20</v>
      </c>
      <c s="12" r="C23">
        <v>40</v>
      </c>
      <c s="12" r="D23">
        <v>60</v>
      </c>
      <c s="12" r="E23">
        <v>80</v>
      </c>
      <c s="12" r="F23">
        <v>90</v>
      </c>
      <c s="1" r="G23"/>
    </row>
    <row s="41" customFormat="1" r="24">
      <c t="s" s="22" r="A24">
        <v>35</v>
      </c>
      <c s="14" r="B24">
        <v>10</v>
      </c>
      <c s="12" r="C24">
        <v>20</v>
      </c>
      <c s="12" r="D24">
        <v>30</v>
      </c>
      <c s="12" r="E24">
        <v>40</v>
      </c>
      <c s="12" r="F24">
        <v>50</v>
      </c>
      <c s="1" r="G24"/>
    </row>
    <row r="25">
      <c s="15" r="A25"/>
      <c s="9" r="B25"/>
      <c s="9" r="C25"/>
      <c s="9" r="D25"/>
      <c s="9" r="E25"/>
      <c s="9" r="F25"/>
    </row>
  </sheetData>
  <mergeCells count="1">
    <mergeCell ref="B15:F15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/>
</worksheet>
</file>